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juppi\Documents\GitHub_Work\Kegeln\"/>
    </mc:Choice>
  </mc:AlternateContent>
  <xr:revisionPtr revIDLastSave="0" documentId="13_ncr:1_{F501C2C4-AC79-4607-AACB-19FCFF5B19CB}" xr6:coauthVersionLast="47" xr6:coauthVersionMax="47" xr10:uidLastSave="{00000000-0000-0000-0000-000000000000}"/>
  <bookViews>
    <workbookView xWindow="-120" yWindow="-120" windowWidth="29040" windowHeight="15720" tabRatio="782" xr2:uid="{00000000-000D-0000-FFFF-FFFF00000000}"/>
  </bookViews>
  <sheets>
    <sheet name="Große + Kleine Hausnummer" sheetId="1" r:id="rId1"/>
    <sheet name="17 und 4" sheetId="2" r:id="rId2"/>
    <sheet name="Fuchs" sheetId="3" r:id="rId3"/>
    <sheet name="6 Tage Rennen" sheetId="4" r:id="rId4"/>
    <sheet name="Einsacken" sheetId="5" r:id="rId5"/>
    <sheet name="Schweinepartie" sheetId="9" r:id="rId6"/>
    <sheet name="Tannenbaum" sheetId="6" r:id="rId7"/>
    <sheet name="Idiotenkegeln" sheetId="7" r:id="rId8"/>
    <sheet name="Mensch-ärger-dich-nicht" sheetId="8" r:id="rId9"/>
    <sheet name="Busfahren" sheetId="12" r:id="rId10"/>
    <sheet name="Kegelbuch" sheetId="10" r:id="rId11"/>
    <sheet name="RECHNEN" sheetId="11" r:id="rId12"/>
  </sheets>
  <calcPr calcId="181029" iterate="1" iterateCount="1" iterateDelta="10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10" l="1"/>
  <c r="F14" i="10"/>
  <c r="E15" i="10"/>
  <c r="F15" i="10"/>
  <c r="Q4" i="4"/>
  <c r="Q5" i="4"/>
  <c r="Q6" i="4"/>
  <c r="Q7" i="4"/>
  <c r="Q8" i="4"/>
  <c r="Q9" i="4"/>
  <c r="Q10" i="4"/>
  <c r="P4" i="4"/>
  <c r="P5" i="4"/>
  <c r="P6" i="4"/>
  <c r="P7" i="4"/>
  <c r="P8" i="4"/>
  <c r="P9" i="4"/>
  <c r="P10" i="4"/>
  <c r="Q3" i="4"/>
  <c r="P3" i="4"/>
  <c r="N4" i="4"/>
  <c r="N5" i="4"/>
  <c r="N6" i="4"/>
  <c r="N7" i="4"/>
  <c r="N8" i="4"/>
  <c r="N9" i="4"/>
  <c r="N10" i="4"/>
  <c r="N3" i="4"/>
  <c r="M4" i="4"/>
  <c r="M5" i="4"/>
  <c r="M6" i="4"/>
  <c r="M7" i="4"/>
  <c r="M8" i="4"/>
  <c r="M9" i="4"/>
  <c r="M10" i="4"/>
  <c r="M3" i="4"/>
  <c r="K4" i="4"/>
  <c r="K5" i="4"/>
  <c r="K6" i="4"/>
  <c r="K7" i="4"/>
  <c r="K8" i="4"/>
  <c r="K9" i="4"/>
  <c r="K10" i="4"/>
  <c r="K3" i="4"/>
  <c r="J4" i="4"/>
  <c r="J5" i="4"/>
  <c r="J6" i="4"/>
  <c r="J7" i="4"/>
  <c r="J8" i="4"/>
  <c r="J9" i="4"/>
  <c r="J10" i="4"/>
  <c r="J3" i="4"/>
  <c r="H4" i="4"/>
  <c r="H5" i="4"/>
  <c r="H6" i="4"/>
  <c r="H7" i="4"/>
  <c r="H8" i="4"/>
  <c r="H9" i="4"/>
  <c r="H10" i="4"/>
  <c r="H3" i="4"/>
  <c r="G4" i="4"/>
  <c r="G5" i="4"/>
  <c r="G6" i="4"/>
  <c r="G7" i="4"/>
  <c r="G8" i="4"/>
  <c r="G9" i="4"/>
  <c r="G10" i="4"/>
  <c r="G3" i="4"/>
  <c r="E4" i="4"/>
  <c r="E5" i="4"/>
  <c r="E6" i="4"/>
  <c r="E7" i="4"/>
  <c r="E8" i="4"/>
  <c r="E9" i="4"/>
  <c r="E10" i="4"/>
  <c r="E3" i="4"/>
  <c r="D4" i="4"/>
  <c r="D5" i="4"/>
  <c r="D6" i="4"/>
  <c r="D7" i="4"/>
  <c r="D8" i="4"/>
  <c r="D9" i="4"/>
  <c r="D10" i="4"/>
  <c r="D3" i="4"/>
  <c r="K3" i="2"/>
  <c r="K4" i="2"/>
  <c r="K5" i="2"/>
  <c r="K6" i="2"/>
  <c r="K7" i="2"/>
  <c r="K8" i="2"/>
  <c r="K9" i="2"/>
  <c r="K10" i="2"/>
  <c r="K2" i="2"/>
  <c r="W27" i="11" l="1"/>
  <c r="W28" i="11"/>
  <c r="W20" i="11"/>
  <c r="W21" i="11"/>
  <c r="W22" i="11"/>
  <c r="W23" i="11"/>
  <c r="W24" i="11"/>
  <c r="W25" i="11"/>
  <c r="W26" i="11"/>
  <c r="W19" i="11"/>
  <c r="Q19" i="11"/>
  <c r="Q20" i="11"/>
  <c r="O20" i="11" s="1"/>
  <c r="Q21" i="11"/>
  <c r="O21" i="11" s="1"/>
  <c r="Q22" i="11"/>
  <c r="O22" i="11" s="1"/>
  <c r="Q23" i="11"/>
  <c r="Q24" i="11"/>
  <c r="O24" i="11" s="1"/>
  <c r="Q25" i="11"/>
  <c r="O25" i="11" s="1"/>
  <c r="Q26" i="11"/>
  <c r="O26" i="11" s="1"/>
  <c r="Q27" i="11"/>
  <c r="O27" i="11" s="1"/>
  <c r="Q28" i="11"/>
  <c r="O28" i="11" s="1"/>
  <c r="Q29" i="11"/>
  <c r="O29" i="11" s="1"/>
  <c r="Q30" i="11"/>
  <c r="Q18" i="11"/>
  <c r="T20" i="11"/>
  <c r="T21" i="11"/>
  <c r="T22" i="11"/>
  <c r="T23" i="11"/>
  <c r="T24" i="11"/>
  <c r="T25" i="11"/>
  <c r="T26" i="11"/>
  <c r="T27" i="11"/>
  <c r="T19" i="11"/>
  <c r="S20" i="11" l="1"/>
  <c r="S26" i="11"/>
  <c r="S27" i="11"/>
  <c r="S25" i="11"/>
  <c r="S24" i="11"/>
  <c r="S23" i="11"/>
  <c r="S22" i="11"/>
  <c r="S21" i="11"/>
  <c r="S19" i="11"/>
  <c r="L19" i="11" l="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18" i="11"/>
  <c r="AB14" i="11" l="1"/>
  <c r="AB17" i="11"/>
  <c r="AA17" i="11"/>
  <c r="Z17" i="11"/>
  <c r="Y17" i="11"/>
  <c r="X17" i="11"/>
  <c r="W17" i="11"/>
  <c r="V17" i="11"/>
  <c r="U17" i="11"/>
  <c r="T17" i="11"/>
  <c r="S2" i="11"/>
  <c r="S3" i="11"/>
  <c r="S4" i="11"/>
  <c r="S5" i="11"/>
  <c r="S6" i="11"/>
  <c r="S7" i="11"/>
  <c r="S8" i="11"/>
  <c r="S9" i="11"/>
  <c r="S10" i="11"/>
  <c r="S11" i="11"/>
  <c r="S12" i="11"/>
  <c r="S13" i="11"/>
  <c r="S14" i="11"/>
  <c r="S17" i="11"/>
  <c r="R2" i="11"/>
  <c r="R3" i="11"/>
  <c r="R4" i="11"/>
  <c r="R5" i="11"/>
  <c r="R6" i="11"/>
  <c r="R7" i="11"/>
  <c r="R8" i="11"/>
  <c r="R9" i="11"/>
  <c r="R10" i="11"/>
  <c r="R11" i="11"/>
  <c r="R12" i="11"/>
  <c r="R17" i="11"/>
  <c r="S1" i="11"/>
  <c r="R1" i="11"/>
  <c r="E29" i="11"/>
  <c r="E31" i="11"/>
  <c r="E32" i="11"/>
  <c r="E33" i="11"/>
  <c r="E70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H52" i="11"/>
  <c r="G52" i="11"/>
  <c r="H51" i="11"/>
  <c r="G51" i="11"/>
  <c r="H50" i="11"/>
  <c r="G50" i="11"/>
  <c r="E50" i="11"/>
  <c r="D50" i="11"/>
  <c r="O49" i="11"/>
  <c r="N49" i="11"/>
  <c r="M49" i="11"/>
  <c r="L49" i="11"/>
  <c r="K49" i="11"/>
  <c r="H49" i="11"/>
  <c r="G49" i="11"/>
  <c r="E49" i="11"/>
  <c r="D49" i="11"/>
  <c r="O48" i="11"/>
  <c r="N48" i="11"/>
  <c r="M48" i="11"/>
  <c r="L48" i="11"/>
  <c r="K48" i="11"/>
  <c r="H48" i="11"/>
  <c r="G48" i="11"/>
  <c r="E48" i="11"/>
  <c r="D48" i="11"/>
  <c r="O47" i="11"/>
  <c r="N47" i="11"/>
  <c r="M47" i="11"/>
  <c r="L47" i="11"/>
  <c r="K47" i="11"/>
  <c r="H47" i="11"/>
  <c r="G47" i="11"/>
  <c r="O46" i="11"/>
  <c r="N46" i="11"/>
  <c r="M46" i="11"/>
  <c r="L46" i="11"/>
  <c r="K46" i="11"/>
  <c r="H46" i="11"/>
  <c r="G46" i="11"/>
  <c r="O45" i="11"/>
  <c r="N45" i="11"/>
  <c r="M45" i="11"/>
  <c r="L45" i="11"/>
  <c r="K45" i="11"/>
  <c r="H45" i="11"/>
  <c r="G45" i="11"/>
  <c r="O44" i="11"/>
  <c r="N44" i="11"/>
  <c r="M44" i="11"/>
  <c r="L44" i="11"/>
  <c r="K44" i="11"/>
  <c r="H44" i="11"/>
  <c r="G44" i="11"/>
  <c r="O43" i="11"/>
  <c r="N43" i="11"/>
  <c r="M43" i="11"/>
  <c r="L43" i="11"/>
  <c r="K43" i="11"/>
  <c r="H43" i="11"/>
  <c r="G43" i="11"/>
  <c r="O42" i="11"/>
  <c r="N42" i="11"/>
  <c r="M42" i="11"/>
  <c r="L42" i="11"/>
  <c r="K42" i="11"/>
  <c r="H42" i="11"/>
  <c r="G42" i="11"/>
  <c r="O41" i="11"/>
  <c r="N41" i="11"/>
  <c r="M41" i="11"/>
  <c r="L41" i="11"/>
  <c r="K41" i="11"/>
  <c r="H41" i="11"/>
  <c r="G41" i="11"/>
  <c r="O40" i="11"/>
  <c r="N40" i="11"/>
  <c r="M40" i="11"/>
  <c r="L40" i="11"/>
  <c r="K40" i="11"/>
  <c r="H40" i="11"/>
  <c r="G40" i="11"/>
  <c r="O39" i="11"/>
  <c r="N39" i="11"/>
  <c r="M39" i="11"/>
  <c r="L39" i="11"/>
  <c r="K39" i="11"/>
  <c r="H39" i="11"/>
  <c r="G39" i="11"/>
  <c r="O38" i="11"/>
  <c r="N38" i="11"/>
  <c r="M38" i="11"/>
  <c r="L38" i="11"/>
  <c r="K38" i="11"/>
  <c r="H38" i="11"/>
  <c r="G38" i="11"/>
  <c r="O37" i="11"/>
  <c r="N37" i="11"/>
  <c r="M37" i="11"/>
  <c r="L37" i="11"/>
  <c r="K37" i="11"/>
  <c r="H37" i="11"/>
  <c r="G37" i="11"/>
  <c r="O36" i="11"/>
  <c r="N36" i="11"/>
  <c r="M36" i="11"/>
  <c r="L36" i="11"/>
  <c r="K36" i="11"/>
  <c r="H36" i="11"/>
  <c r="G36" i="11"/>
  <c r="H35" i="11"/>
  <c r="G35" i="11"/>
  <c r="E35" i="11"/>
  <c r="K15" i="11"/>
  <c r="J15" i="11"/>
  <c r="I15" i="11"/>
  <c r="G15" i="11"/>
  <c r="F15" i="11"/>
  <c r="E15" i="11"/>
  <c r="K14" i="11"/>
  <c r="J14" i="11"/>
  <c r="I14" i="11"/>
  <c r="B14" i="11" s="1"/>
  <c r="G14" i="11"/>
  <c r="F14" i="11"/>
  <c r="E14" i="11"/>
  <c r="K13" i="11"/>
  <c r="J13" i="11"/>
  <c r="I13" i="11"/>
  <c r="G13" i="11"/>
  <c r="F13" i="11"/>
  <c r="E13" i="11"/>
  <c r="K12" i="11"/>
  <c r="J12" i="11"/>
  <c r="I12" i="11"/>
  <c r="G12" i="11"/>
  <c r="F12" i="11"/>
  <c r="E12" i="11"/>
  <c r="K11" i="11"/>
  <c r="J11" i="11"/>
  <c r="I11" i="11"/>
  <c r="G11" i="11"/>
  <c r="F11" i="11"/>
  <c r="E11" i="11"/>
  <c r="O10" i="11"/>
  <c r="K10" i="11"/>
  <c r="J10" i="11"/>
  <c r="I10" i="11"/>
  <c r="G10" i="11"/>
  <c r="F10" i="11"/>
  <c r="E10" i="11"/>
  <c r="K9" i="11"/>
  <c r="J9" i="11"/>
  <c r="I9" i="11"/>
  <c r="G9" i="11"/>
  <c r="F9" i="11"/>
  <c r="E9" i="11"/>
  <c r="K8" i="11"/>
  <c r="J8" i="11"/>
  <c r="I8" i="11"/>
  <c r="G8" i="11"/>
  <c r="F8" i="11"/>
  <c r="E8" i="11"/>
  <c r="K7" i="11"/>
  <c r="J7" i="11"/>
  <c r="I7" i="11"/>
  <c r="G7" i="11"/>
  <c r="F7" i="11"/>
  <c r="E7" i="11"/>
  <c r="K6" i="11"/>
  <c r="J6" i="11"/>
  <c r="I6" i="11"/>
  <c r="G6" i="11"/>
  <c r="F6" i="11"/>
  <c r="E6" i="11"/>
  <c r="K5" i="11"/>
  <c r="J5" i="11"/>
  <c r="I5" i="11"/>
  <c r="G5" i="11"/>
  <c r="F5" i="11"/>
  <c r="E5" i="11"/>
  <c r="K4" i="11"/>
  <c r="J4" i="11"/>
  <c r="I4" i="11"/>
  <c r="G4" i="11"/>
  <c r="F4" i="11"/>
  <c r="E4" i="11"/>
  <c r="K3" i="11"/>
  <c r="J3" i="11"/>
  <c r="I3" i="11"/>
  <c r="G3" i="11"/>
  <c r="F3" i="11"/>
  <c r="E3" i="11"/>
  <c r="K2" i="11"/>
  <c r="J2" i="11"/>
  <c r="I2" i="11"/>
  <c r="G2" i="11"/>
  <c r="F2" i="11"/>
  <c r="E2" i="11"/>
  <c r="K1" i="11"/>
  <c r="J1" i="11"/>
  <c r="I1" i="11"/>
  <c r="G1" i="11"/>
  <c r="F1" i="11"/>
  <c r="E1" i="11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B14" i="8"/>
  <c r="B13" i="8"/>
  <c r="B12" i="8"/>
  <c r="B11" i="8"/>
  <c r="B10" i="8"/>
  <c r="B9" i="8"/>
  <c r="B8" i="8"/>
  <c r="B7" i="8"/>
  <c r="B6" i="8"/>
  <c r="B5" i="8"/>
  <c r="B4" i="8"/>
  <c r="B3" i="8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M11" i="5"/>
  <c r="K11" i="5"/>
  <c r="I11" i="5"/>
  <c r="G11" i="5"/>
  <c r="E11" i="5"/>
  <c r="C11" i="5"/>
  <c r="M3" i="5"/>
  <c r="K3" i="5"/>
  <c r="I3" i="5"/>
  <c r="G3" i="5"/>
  <c r="E3" i="5"/>
  <c r="C3" i="5"/>
  <c r="O3" i="5" s="1"/>
  <c r="R16" i="4"/>
  <c r="R15" i="4"/>
  <c r="N15" i="3"/>
  <c r="N13" i="3"/>
  <c r="N12" i="3"/>
  <c r="N11" i="3"/>
  <c r="N10" i="3"/>
  <c r="N9" i="3"/>
  <c r="N8" i="3"/>
  <c r="N7" i="3"/>
  <c r="N6" i="3"/>
  <c r="N5" i="3"/>
  <c r="N4" i="3"/>
  <c r="N3" i="3"/>
  <c r="N2" i="3"/>
  <c r="I18" i="2"/>
  <c r="K18" i="2" s="1"/>
  <c r="L18" i="2" s="1"/>
  <c r="I17" i="2"/>
  <c r="K17" i="2" s="1"/>
  <c r="L17" i="2" s="1"/>
  <c r="I16" i="2"/>
  <c r="K16" i="2" s="1"/>
  <c r="I15" i="2"/>
  <c r="K15" i="2" s="1"/>
  <c r="I14" i="2"/>
  <c r="K14" i="2" s="1"/>
  <c r="I13" i="2"/>
  <c r="K13" i="2" s="1"/>
  <c r="I12" i="2"/>
  <c r="K12" i="2" s="1"/>
  <c r="I11" i="2"/>
  <c r="K11" i="2" s="1"/>
  <c r="I10" i="2"/>
  <c r="I9" i="2"/>
  <c r="I8" i="2"/>
  <c r="I7" i="2"/>
  <c r="I6" i="2"/>
  <c r="I5" i="2"/>
  <c r="I4" i="2"/>
  <c r="I3" i="2"/>
  <c r="I2" i="2"/>
  <c r="A12" i="11" l="1"/>
  <c r="A13" i="11"/>
  <c r="A10" i="11"/>
  <c r="B12" i="11"/>
  <c r="A14" i="11"/>
  <c r="A11" i="11"/>
  <c r="A15" i="11"/>
  <c r="B11" i="11"/>
  <c r="B15" i="11"/>
  <c r="B10" i="11"/>
  <c r="B13" i="11"/>
  <c r="B8" i="11"/>
  <c r="B4" i="11"/>
  <c r="A2" i="11"/>
  <c r="C3" i="8"/>
  <c r="M91" i="11"/>
  <c r="B2" i="11"/>
  <c r="B9" i="11"/>
  <c r="B7" i="11"/>
  <c r="B6" i="11"/>
  <c r="B5" i="11"/>
  <c r="B3" i="11"/>
  <c r="B1" i="11"/>
  <c r="A9" i="11"/>
  <c r="A8" i="11"/>
  <c r="A7" i="11"/>
  <c r="A6" i="11"/>
  <c r="A5" i="11"/>
  <c r="A4" i="11"/>
  <c r="A3" i="11"/>
  <c r="A1" i="11"/>
  <c r="F3" i="7"/>
  <c r="F8" i="7"/>
  <c r="F4" i="7"/>
  <c r="F11" i="7"/>
  <c r="F14" i="7"/>
  <c r="F12" i="7"/>
  <c r="F7" i="7"/>
  <c r="F13" i="7"/>
  <c r="F9" i="7"/>
  <c r="F5" i="7"/>
  <c r="F6" i="7"/>
  <c r="F10" i="7"/>
  <c r="H3" i="9"/>
  <c r="F16" i="7"/>
  <c r="O11" i="5"/>
  <c r="L34" i="11"/>
  <c r="C3" i="11"/>
  <c r="C7" i="11"/>
  <c r="C2" i="11"/>
  <c r="C4" i="11"/>
  <c r="C6" i="11"/>
  <c r="C8" i="11"/>
  <c r="C10" i="11"/>
  <c r="L11" i="2"/>
  <c r="C12" i="11"/>
  <c r="L13" i="2"/>
  <c r="C14" i="11"/>
  <c r="L15" i="2"/>
  <c r="C1" i="11"/>
  <c r="C5" i="11"/>
  <c r="C9" i="11"/>
  <c r="C11" i="11"/>
  <c r="L12" i="2"/>
  <c r="C13" i="11"/>
  <c r="L14" i="2"/>
  <c r="C15" i="11"/>
  <c r="L16" i="2"/>
  <c r="F15" i="7"/>
  <c r="F17" i="7"/>
  <c r="C4" i="8"/>
  <c r="C6" i="8"/>
  <c r="C8" i="8"/>
  <c r="C10" i="8"/>
  <c r="C12" i="8"/>
  <c r="C14" i="8"/>
  <c r="H4" i="9"/>
  <c r="H6" i="9"/>
  <c r="H8" i="9"/>
  <c r="H10" i="9"/>
  <c r="H12" i="9"/>
  <c r="H14" i="9"/>
  <c r="H16" i="9"/>
  <c r="C5" i="8"/>
  <c r="C7" i="8"/>
  <c r="C9" i="8"/>
  <c r="C11" i="8"/>
  <c r="C13" i="8"/>
  <c r="H5" i="9"/>
  <c r="H7" i="9"/>
  <c r="H9" i="9"/>
  <c r="H11" i="9"/>
  <c r="H13" i="9"/>
  <c r="H15" i="9"/>
  <c r="E43" i="11" l="1"/>
  <c r="F26" i="11" s="1"/>
  <c r="D47" i="11"/>
  <c r="D30" i="11" s="1"/>
  <c r="E47" i="11"/>
  <c r="F30" i="11" s="1"/>
  <c r="D41" i="11"/>
  <c r="D24" i="11" s="1"/>
  <c r="E41" i="11"/>
  <c r="F24" i="11" s="1"/>
  <c r="E46" i="11"/>
  <c r="F29" i="11" s="1"/>
  <c r="D46" i="11"/>
  <c r="D29" i="11" s="1"/>
  <c r="E42" i="11"/>
  <c r="F25" i="11" s="1"/>
  <c r="D42" i="11"/>
  <c r="D25" i="11" s="1"/>
  <c r="D40" i="11"/>
  <c r="D23" i="11" s="1"/>
  <c r="E40" i="11"/>
  <c r="F23" i="11" s="1"/>
  <c r="E39" i="11"/>
  <c r="F22" i="11" s="1"/>
  <c r="D39" i="11"/>
  <c r="D22" i="11" s="1"/>
  <c r="D43" i="11"/>
  <c r="D26" i="11" s="1"/>
  <c r="D35" i="11"/>
  <c r="D18" i="11" s="1"/>
  <c r="D44" i="11"/>
  <c r="D27" i="11" s="1"/>
  <c r="E44" i="11"/>
  <c r="F27" i="11" s="1"/>
  <c r="L8" i="2"/>
  <c r="E36" i="11"/>
  <c r="F19" i="11" s="1"/>
  <c r="D36" i="11"/>
  <c r="D19" i="11" s="1"/>
  <c r="E45" i="11"/>
  <c r="F28" i="11" s="1"/>
  <c r="E37" i="11"/>
  <c r="F20" i="11" s="1"/>
  <c r="D45" i="11"/>
  <c r="D28" i="11" s="1"/>
  <c r="E38" i="11"/>
  <c r="F21" i="11" s="1"/>
  <c r="D38" i="11"/>
  <c r="D21" i="11" s="1"/>
  <c r="D37" i="11"/>
  <c r="D20" i="11" s="1"/>
  <c r="L2" i="2"/>
  <c r="B30" i="11" s="1"/>
  <c r="L10" i="2"/>
  <c r="B27" i="11" s="1"/>
  <c r="L9" i="2"/>
  <c r="B19" i="11" s="1"/>
  <c r="L5" i="2"/>
  <c r="L6" i="2"/>
  <c r="L7" i="2"/>
  <c r="B18" i="11" s="1"/>
  <c r="L3" i="2"/>
  <c r="L4" i="2"/>
  <c r="T28" i="11"/>
  <c r="U26" i="11" s="1"/>
  <c r="K91" i="11"/>
  <c r="M82" i="11"/>
  <c r="M100" i="11"/>
  <c r="M57" i="11"/>
  <c r="M56" i="11"/>
  <c r="E14" i="1"/>
  <c r="E3" i="1"/>
  <c r="E10" i="1"/>
  <c r="E6" i="1"/>
  <c r="E17" i="1"/>
  <c r="E9" i="1"/>
  <c r="E15" i="1"/>
  <c r="E13" i="1"/>
  <c r="E16" i="1"/>
  <c r="E8" i="1"/>
  <c r="E5" i="1"/>
  <c r="E11" i="1"/>
  <c r="E7" i="1"/>
  <c r="E4" i="1"/>
  <c r="E12" i="1"/>
  <c r="I47" i="11"/>
  <c r="I39" i="11"/>
  <c r="I48" i="11"/>
  <c r="I44" i="11"/>
  <c r="I40" i="11"/>
  <c r="I37" i="11"/>
  <c r="G28" i="11" s="1"/>
  <c r="I46" i="11"/>
  <c r="I49" i="11"/>
  <c r="I42" i="11"/>
  <c r="G23" i="11" s="1"/>
  <c r="I45" i="11"/>
  <c r="I52" i="11"/>
  <c r="I38" i="11"/>
  <c r="G26" i="11" s="1"/>
  <c r="I43" i="11"/>
  <c r="G22" i="11" s="1"/>
  <c r="I51" i="11"/>
  <c r="I36" i="11"/>
  <c r="G24" i="11" s="1"/>
  <c r="I41" i="11"/>
  <c r="G27" i="11" s="1"/>
  <c r="I50" i="11"/>
  <c r="I35" i="11"/>
  <c r="I12" i="1"/>
  <c r="I8" i="1"/>
  <c r="I7" i="1"/>
  <c r="I13" i="1"/>
  <c r="I9" i="1"/>
  <c r="I5" i="1"/>
  <c r="I14" i="1"/>
  <c r="I10" i="1"/>
  <c r="I3" i="1"/>
  <c r="I15" i="1"/>
  <c r="I11" i="1"/>
  <c r="I16" i="1"/>
  <c r="I17" i="1"/>
  <c r="I4" i="1"/>
  <c r="I6" i="1"/>
  <c r="M61" i="11"/>
  <c r="M65" i="11"/>
  <c r="M60" i="11"/>
  <c r="M64" i="11"/>
  <c r="M68" i="11"/>
  <c r="N20" i="11"/>
  <c r="N28" i="11"/>
  <c r="K20" i="11"/>
  <c r="K28" i="11"/>
  <c r="H23" i="11"/>
  <c r="H31" i="11"/>
  <c r="F31" i="11"/>
  <c r="D31" i="11"/>
  <c r="B31" i="11"/>
  <c r="C31" i="11"/>
  <c r="H28" i="11"/>
  <c r="N21" i="11"/>
  <c r="N29" i="11"/>
  <c r="K21" i="11"/>
  <c r="K29" i="11"/>
  <c r="H24" i="11"/>
  <c r="H32" i="11"/>
  <c r="F32" i="11"/>
  <c r="D32" i="11"/>
  <c r="B32" i="11"/>
  <c r="C32" i="11"/>
  <c r="N25" i="11"/>
  <c r="K25" i="11"/>
  <c r="K33" i="11"/>
  <c r="G20" i="11"/>
  <c r="N26" i="11"/>
  <c r="K18" i="11"/>
  <c r="G29" i="11"/>
  <c r="B29" i="11"/>
  <c r="N19" i="11"/>
  <c r="K19" i="11"/>
  <c r="K27" i="11"/>
  <c r="H30" i="11"/>
  <c r="N22" i="11"/>
  <c r="N30" i="11"/>
  <c r="K22" i="11"/>
  <c r="K30" i="11"/>
  <c r="H25" i="11"/>
  <c r="H33" i="11"/>
  <c r="F33" i="11"/>
  <c r="D33" i="11"/>
  <c r="B33" i="11"/>
  <c r="C33" i="11"/>
  <c r="N23" i="11"/>
  <c r="N31" i="11"/>
  <c r="K23" i="11"/>
  <c r="K31" i="11"/>
  <c r="H26" i="11"/>
  <c r="H18" i="11"/>
  <c r="G18" i="11"/>
  <c r="F18" i="11"/>
  <c r="H29" i="11"/>
  <c r="C29" i="11"/>
  <c r="N24" i="11"/>
  <c r="N32" i="11"/>
  <c r="K24" i="11"/>
  <c r="K32" i="11"/>
  <c r="H19" i="11"/>
  <c r="H27" i="11"/>
  <c r="G19" i="11"/>
  <c r="N33" i="11"/>
  <c r="H20" i="11"/>
  <c r="N18" i="11"/>
  <c r="K26" i="11"/>
  <c r="H21" i="11"/>
  <c r="G21" i="11"/>
  <c r="N27" i="11"/>
  <c r="H22" i="11"/>
  <c r="G30" i="11"/>
  <c r="N58" i="11"/>
  <c r="N62" i="11"/>
  <c r="N66" i="11"/>
  <c r="N55" i="11"/>
  <c r="N59" i="11"/>
  <c r="N63" i="11"/>
  <c r="N67" i="11"/>
  <c r="J56" i="11"/>
  <c r="J60" i="11"/>
  <c r="J64" i="11"/>
  <c r="J68" i="11"/>
  <c r="J82" i="11"/>
  <c r="J100" i="11"/>
  <c r="J57" i="11"/>
  <c r="J61" i="11"/>
  <c r="J65" i="11"/>
  <c r="M55" i="11"/>
  <c r="M59" i="11"/>
  <c r="M63" i="11"/>
  <c r="M67" i="11"/>
  <c r="M58" i="11"/>
  <c r="M62" i="11"/>
  <c r="M66" i="11"/>
  <c r="M73" i="11"/>
  <c r="N56" i="11"/>
  <c r="N60" i="11"/>
  <c r="N64" i="11"/>
  <c r="N68" i="11"/>
  <c r="N57" i="11"/>
  <c r="N61" i="11"/>
  <c r="N65" i="11"/>
  <c r="L65" i="11"/>
  <c r="B28" i="9"/>
  <c r="J58" i="11"/>
  <c r="J62" i="11"/>
  <c r="J66" i="11"/>
  <c r="J73" i="11"/>
  <c r="J91" i="11"/>
  <c r="J55" i="11"/>
  <c r="J59" i="11"/>
  <c r="J63" i="11"/>
  <c r="J67" i="11"/>
  <c r="B21" i="11" l="1"/>
  <c r="G31" i="11"/>
  <c r="I31" i="11" s="1"/>
  <c r="G25" i="11"/>
  <c r="B28" i="11"/>
  <c r="B24" i="11"/>
  <c r="B25" i="11"/>
  <c r="B26" i="11"/>
  <c r="C26" i="11"/>
  <c r="C27" i="11"/>
  <c r="B20" i="11"/>
  <c r="B23" i="11"/>
  <c r="B22" i="11"/>
  <c r="C28" i="11"/>
  <c r="C30" i="11"/>
  <c r="C20" i="11"/>
  <c r="C25" i="11"/>
  <c r="C21" i="11"/>
  <c r="C22" i="11"/>
  <c r="C24" i="11"/>
  <c r="C19" i="11"/>
  <c r="U19" i="11"/>
  <c r="C23" i="11"/>
  <c r="U24" i="11"/>
  <c r="U25" i="11"/>
  <c r="U22" i="11"/>
  <c r="U21" i="11"/>
  <c r="U20" i="11"/>
  <c r="O18" i="11" s="1"/>
  <c r="U27" i="11"/>
  <c r="U23" i="11"/>
  <c r="O19" i="11" s="1"/>
  <c r="I29" i="11"/>
  <c r="G15" i="10" s="1"/>
  <c r="C18" i="11"/>
  <c r="K55" i="11"/>
  <c r="K61" i="11"/>
  <c r="K57" i="11"/>
  <c r="K58" i="11"/>
  <c r="K66" i="11"/>
  <c r="K62" i="11"/>
  <c r="K59" i="11"/>
  <c r="K100" i="11"/>
  <c r="K67" i="11"/>
  <c r="K68" i="11"/>
  <c r="K82" i="11"/>
  <c r="K63" i="11"/>
  <c r="K64" i="11"/>
  <c r="K60" i="11"/>
  <c r="K56" i="11"/>
  <c r="K73" i="11"/>
  <c r="K65" i="11"/>
  <c r="O65" i="11" s="1"/>
  <c r="E13" i="10" s="1"/>
  <c r="G33" i="11"/>
  <c r="I33" i="11" s="1"/>
  <c r="G32" i="11"/>
  <c r="I32" i="11" s="1"/>
  <c r="L61" i="11"/>
  <c r="L68" i="11"/>
  <c r="L100" i="11"/>
  <c r="L60" i="11"/>
  <c r="L57" i="11"/>
  <c r="L82" i="11"/>
  <c r="L64" i="11"/>
  <c r="L56" i="11"/>
  <c r="L67" i="11"/>
  <c r="L59" i="11"/>
  <c r="L91" i="11"/>
  <c r="L66" i="11"/>
  <c r="L58" i="11"/>
  <c r="L63" i="11"/>
  <c r="L55" i="11"/>
  <c r="L73" i="11"/>
  <c r="L62" i="11"/>
  <c r="O30" i="11" l="1"/>
  <c r="O23" i="11"/>
  <c r="O55" i="11"/>
  <c r="E3" i="10" s="1"/>
  <c r="O61" i="11"/>
  <c r="E9" i="10" s="1"/>
  <c r="O64" i="11"/>
  <c r="E12" i="10" s="1"/>
  <c r="O67" i="11"/>
  <c r="O62" i="11"/>
  <c r="E10" i="10" s="1"/>
  <c r="O60" i="11"/>
  <c r="E8" i="10" s="1"/>
  <c r="O63" i="11"/>
  <c r="E11" i="10" s="1"/>
  <c r="O57" i="11"/>
  <c r="E5" i="10" s="1"/>
  <c r="O56" i="11"/>
  <c r="E4" i="10" s="1"/>
  <c r="O58" i="11"/>
  <c r="E6" i="10" s="1"/>
  <c r="O66" i="11"/>
  <c r="O59" i="11"/>
  <c r="E7" i="10" s="1"/>
  <c r="O68" i="11"/>
  <c r="R13" i="4" l="1"/>
  <c r="R5" i="4" l="1"/>
  <c r="R6" i="4" s="1"/>
  <c r="E30" i="11" s="1"/>
  <c r="R14" i="4"/>
  <c r="R11" i="4"/>
  <c r="R7" i="4"/>
  <c r="R3" i="4"/>
  <c r="E22" i="11" s="1"/>
  <c r="R9" i="4"/>
  <c r="E18" i="11" l="1"/>
  <c r="I18" i="11" s="1"/>
  <c r="E26" i="11"/>
  <c r="I26" i="11" s="1"/>
  <c r="G11" i="10" s="1"/>
  <c r="E28" i="11"/>
  <c r="I28" i="11" s="1"/>
  <c r="I22" i="11"/>
  <c r="G7" i="10" s="1"/>
  <c r="I30" i="11"/>
  <c r="G14" i="10" s="1"/>
  <c r="R4" i="4"/>
  <c r="R10" i="4"/>
  <c r="R8" i="4"/>
  <c r="E27" i="11" s="1"/>
  <c r="R12" i="4"/>
  <c r="Q14" i="11"/>
  <c r="Q15" i="11"/>
  <c r="Q16" i="11"/>
  <c r="G13" i="10" l="1"/>
  <c r="E20" i="11"/>
  <c r="I20" i="11" s="1"/>
  <c r="E19" i="11"/>
  <c r="I19" i="11" s="1"/>
  <c r="G4" i="10" s="1"/>
  <c r="E25" i="11"/>
  <c r="I25" i="11" s="1"/>
  <c r="G10" i="10" s="1"/>
  <c r="E21" i="11"/>
  <c r="I21" i="11" s="1"/>
  <c r="E23" i="11"/>
  <c r="I23" i="11" s="1"/>
  <c r="E24" i="11"/>
  <c r="I24" i="11" s="1"/>
  <c r="G9" i="10" s="1"/>
  <c r="I27" i="11"/>
  <c r="G12" i="10" s="1"/>
  <c r="T1" i="11"/>
  <c r="U1" i="11"/>
  <c r="V1" i="11"/>
  <c r="W1" i="11"/>
  <c r="X1" i="11"/>
  <c r="Y1" i="11"/>
  <c r="Z1" i="11"/>
  <c r="AA1" i="11"/>
  <c r="AB1" i="11"/>
  <c r="T2" i="11"/>
  <c r="U2" i="11"/>
  <c r="V2" i="11"/>
  <c r="W2" i="11"/>
  <c r="X2" i="11"/>
  <c r="Y2" i="11"/>
  <c r="Z2" i="11"/>
  <c r="AA2" i="11"/>
  <c r="AB2" i="11"/>
  <c r="T3" i="11"/>
  <c r="U3" i="11"/>
  <c r="V3" i="11"/>
  <c r="W3" i="11"/>
  <c r="X3" i="11"/>
  <c r="Y3" i="11"/>
  <c r="Z3" i="11"/>
  <c r="AA3" i="11"/>
  <c r="AB3" i="11"/>
  <c r="T4" i="11"/>
  <c r="U4" i="11"/>
  <c r="V4" i="11"/>
  <c r="W4" i="11"/>
  <c r="X4" i="11"/>
  <c r="Y4" i="11"/>
  <c r="Z4" i="11"/>
  <c r="AA4" i="11"/>
  <c r="AB4" i="11"/>
  <c r="T5" i="11"/>
  <c r="U5" i="11"/>
  <c r="V5" i="11"/>
  <c r="W5" i="11"/>
  <c r="X5" i="11"/>
  <c r="Y5" i="11"/>
  <c r="Z5" i="11"/>
  <c r="AA5" i="11"/>
  <c r="AB5" i="11"/>
  <c r="T6" i="11"/>
  <c r="U6" i="11"/>
  <c r="V6" i="11"/>
  <c r="W6" i="11"/>
  <c r="X6" i="11"/>
  <c r="Y6" i="11"/>
  <c r="Z6" i="11"/>
  <c r="AA6" i="11"/>
  <c r="AB6" i="11"/>
  <c r="T7" i="11"/>
  <c r="U7" i="11"/>
  <c r="V7" i="11"/>
  <c r="W7" i="11"/>
  <c r="X7" i="11"/>
  <c r="Y7" i="11"/>
  <c r="Z7" i="11"/>
  <c r="AA7" i="11"/>
  <c r="AB7" i="11"/>
  <c r="T8" i="11"/>
  <c r="U8" i="11"/>
  <c r="V8" i="11"/>
  <c r="W8" i="11"/>
  <c r="X8" i="11"/>
  <c r="Y8" i="11"/>
  <c r="Z8" i="11"/>
  <c r="AA8" i="11"/>
  <c r="AB8" i="11"/>
  <c r="T9" i="11"/>
  <c r="U9" i="11"/>
  <c r="V9" i="11"/>
  <c r="W9" i="11"/>
  <c r="X9" i="11"/>
  <c r="Y9" i="11"/>
  <c r="Z9" i="11"/>
  <c r="AA9" i="11"/>
  <c r="AB9" i="11"/>
  <c r="T10" i="11"/>
  <c r="U10" i="11"/>
  <c r="V10" i="11"/>
  <c r="W10" i="11"/>
  <c r="X10" i="11"/>
  <c r="Y10" i="11"/>
  <c r="Z10" i="11"/>
  <c r="AA10" i="11"/>
  <c r="AB10" i="11"/>
  <c r="T11" i="11"/>
  <c r="U11" i="11"/>
  <c r="V11" i="11"/>
  <c r="W11" i="11"/>
  <c r="X11" i="11"/>
  <c r="Y11" i="11"/>
  <c r="Z11" i="11"/>
  <c r="AA11" i="11"/>
  <c r="AB11" i="11"/>
  <c r="T12" i="11"/>
  <c r="U12" i="11"/>
  <c r="V12" i="11"/>
  <c r="W12" i="11"/>
  <c r="X12" i="11"/>
  <c r="Y12" i="11"/>
  <c r="Z12" i="11"/>
  <c r="AA12" i="11"/>
  <c r="AB12" i="11"/>
  <c r="R13" i="11"/>
  <c r="T13" i="11"/>
  <c r="U13" i="11"/>
  <c r="V13" i="11"/>
  <c r="W13" i="11"/>
  <c r="X13" i="11"/>
  <c r="Y13" i="11"/>
  <c r="Z13" i="11"/>
  <c r="AA13" i="11"/>
  <c r="AB13" i="11"/>
  <c r="R14" i="11"/>
  <c r="T14" i="11"/>
  <c r="U14" i="11"/>
  <c r="V14" i="11"/>
  <c r="W14" i="11"/>
  <c r="X14" i="11"/>
  <c r="Y14" i="11"/>
  <c r="Z14" i="11"/>
  <c r="AA14" i="11"/>
  <c r="R15" i="11"/>
  <c r="S15" i="11"/>
  <c r="T15" i="11"/>
  <c r="U15" i="11"/>
  <c r="V15" i="11"/>
  <c r="W15" i="11"/>
  <c r="X15" i="11"/>
  <c r="Y15" i="11"/>
  <c r="Z15" i="11"/>
  <c r="AA15" i="11"/>
  <c r="AB15" i="11"/>
  <c r="R16" i="11"/>
  <c r="S16" i="11"/>
  <c r="T16" i="11"/>
  <c r="U16" i="11"/>
  <c r="V16" i="11"/>
  <c r="W16" i="11"/>
  <c r="X16" i="11"/>
  <c r="Y16" i="11"/>
  <c r="Z16" i="11"/>
  <c r="AA16" i="11"/>
  <c r="AB16" i="11"/>
  <c r="F3" i="10"/>
  <c r="G5" i="10" l="1"/>
  <c r="G6" i="10"/>
  <c r="G8" i="10"/>
  <c r="G3" i="10"/>
  <c r="Q1" i="11"/>
  <c r="F4" i="10"/>
  <c r="Q2" i="11" s="1"/>
  <c r="F5" i="10"/>
  <c r="F6" i="10"/>
  <c r="Q4" i="11" s="1"/>
  <c r="F7" i="10"/>
  <c r="Q5" i="11" s="1"/>
  <c r="F8" i="10"/>
  <c r="Q6" i="11" s="1"/>
  <c r="F9" i="10"/>
  <c r="Q7" i="11" s="1"/>
  <c r="F10" i="10"/>
  <c r="Q8" i="11" s="1"/>
  <c r="F11" i="10"/>
  <c r="Q9" i="11" s="1"/>
  <c r="F12" i="10"/>
  <c r="Q10" i="11" s="1"/>
  <c r="F13" i="10"/>
  <c r="Q11" i="11" s="1"/>
  <c r="Q12" i="11"/>
  <c r="Q13" i="11"/>
  <c r="F19" i="10" l="1"/>
  <c r="Q17" i="11" s="1"/>
  <c r="Q3" i="11"/>
</calcChain>
</file>

<file path=xl/sharedStrings.xml><?xml version="1.0" encoding="utf-8"?>
<sst xmlns="http://schemas.openxmlformats.org/spreadsheetml/2006/main" count="263" uniqueCount="107">
  <si>
    <t>Große und Kleine Hausnummer</t>
  </si>
  <si>
    <t>Name</t>
  </si>
  <si>
    <t>Große Hausnummer</t>
  </si>
  <si>
    <t>Platz</t>
  </si>
  <si>
    <t>Kleine Hausnummer</t>
  </si>
  <si>
    <t>Marius</t>
  </si>
  <si>
    <t>Hilde</t>
  </si>
  <si>
    <t>Michael</t>
  </si>
  <si>
    <t>Helga</t>
  </si>
  <si>
    <t>Brigitte</t>
  </si>
  <si>
    <t>17 und 4</t>
  </si>
  <si>
    <t>Ergebnis</t>
  </si>
  <si>
    <t>Karte</t>
  </si>
  <si>
    <t>Gesamtergebnis</t>
  </si>
  <si>
    <t>Platzierung</t>
  </si>
  <si>
    <t>Fuchsspiel</t>
  </si>
  <si>
    <t>üû</t>
  </si>
  <si>
    <t>Peter</t>
  </si>
  <si>
    <t>Fuchs Name</t>
  </si>
  <si>
    <t>Jäger alle</t>
  </si>
  <si>
    <t>6 Tage Rennen</t>
  </si>
  <si>
    <t>1 Tag</t>
  </si>
  <si>
    <t>2 Tag</t>
  </si>
  <si>
    <t>2 Tag x2</t>
  </si>
  <si>
    <t>Zsumme</t>
  </si>
  <si>
    <t>3 Tag</t>
  </si>
  <si>
    <t>3 Tag x3</t>
  </si>
  <si>
    <t>4 Tag</t>
  </si>
  <si>
    <t>4 Tag x4</t>
  </si>
  <si>
    <t>5 Tag</t>
  </si>
  <si>
    <t>5 Tag x5</t>
  </si>
  <si>
    <t>6 Tag</t>
  </si>
  <si>
    <t>6 Tag x6</t>
  </si>
  <si>
    <t>Gsumme</t>
  </si>
  <si>
    <t>Einsacken</t>
  </si>
  <si>
    <t>Gruppe 1</t>
  </si>
  <si>
    <t>Wurftopf</t>
  </si>
  <si>
    <t>Gesamttopf</t>
  </si>
  <si>
    <t>Gewonnen:</t>
  </si>
  <si>
    <t>Gruppe 2</t>
  </si>
  <si>
    <t xml:space="preserve">  </t>
  </si>
  <si>
    <t>Tannenbaum</t>
  </si>
  <si>
    <t>Idiotenkegeln</t>
  </si>
  <si>
    <t>links</t>
  </si>
  <si>
    <t>rückw. d. d. Beine</t>
  </si>
  <si>
    <t>rechts</t>
  </si>
  <si>
    <t>Gesamtsumme</t>
  </si>
  <si>
    <t>Wurf 1</t>
  </si>
  <si>
    <t>Wurf 2</t>
  </si>
  <si>
    <t>Wurf 3</t>
  </si>
  <si>
    <t>Wurf 4</t>
  </si>
  <si>
    <t>Wurf 5</t>
  </si>
  <si>
    <t>Wurf 6</t>
  </si>
  <si>
    <t>Wurf 7</t>
  </si>
  <si>
    <t>Wurf 8</t>
  </si>
  <si>
    <t>Wurf 9</t>
  </si>
  <si>
    <t>Wurf 10</t>
  </si>
  <si>
    <t>Schweinepartie/Zahlenlotto</t>
  </si>
  <si>
    <t>Wer Zahlt:</t>
  </si>
  <si>
    <t>Startgeld</t>
  </si>
  <si>
    <t>Pudel</t>
  </si>
  <si>
    <t>Stina</t>
  </si>
  <si>
    <t>Punkte</t>
  </si>
  <si>
    <t>Zu zahlen</t>
  </si>
  <si>
    <t>Schweinepartie</t>
  </si>
  <si>
    <t>Svenja</t>
  </si>
  <si>
    <t>GuK</t>
  </si>
  <si>
    <t>Fuchs</t>
  </si>
  <si>
    <t>6T</t>
  </si>
  <si>
    <t>Tannebaum</t>
  </si>
  <si>
    <t>Idikegeln</t>
  </si>
  <si>
    <t>Schweine</t>
  </si>
  <si>
    <t>M.ä.d.n.</t>
  </si>
  <si>
    <t>Fuchs:</t>
  </si>
  <si>
    <t>Einsacken:</t>
  </si>
  <si>
    <t>Tannenbaum:</t>
  </si>
  <si>
    <t>Mensch</t>
  </si>
  <si>
    <t>ärger</t>
  </si>
  <si>
    <t>dich</t>
  </si>
  <si>
    <t>nicht</t>
  </si>
  <si>
    <t>Schweine-Kegelbuch</t>
  </si>
  <si>
    <t>Summe</t>
  </si>
  <si>
    <t>Gesamtsumme:</t>
  </si>
  <si>
    <t>Kegelbuch</t>
  </si>
  <si>
    <t>Mensch Ärger dich Nicht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</si>
  <si>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</si>
  <si>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</si>
  <si>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</si>
  <si>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</si>
  <si>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</si>
  <si>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</si>
  <si>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</si>
  <si>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</si>
  <si>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</si>
  <si>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Busfahren</t>
  </si>
  <si>
    <t>BUS</t>
  </si>
  <si>
    <t>Räder</t>
  </si>
  <si>
    <t>Mannschaft</t>
  </si>
  <si>
    <t>Busnamen</t>
  </si>
  <si>
    <t>Rang</t>
  </si>
  <si>
    <t>Bus 0</t>
  </si>
  <si>
    <t>Anzahl Räder</t>
  </si>
  <si>
    <t>Birgit</t>
  </si>
  <si>
    <t>Jo</t>
  </si>
  <si>
    <t>J N</t>
  </si>
  <si>
    <t>Elke</t>
  </si>
  <si>
    <t>Gerhard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</si>
</sst>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407];[Red]\-#,##0.00\ [$€-407]"/>
    <numFmt numFmtId="165" formatCode="dd/mm/yy"/>
    <numFmt numFmtId="166" formatCode="mmmm"/>
  </numFmts>
  <fonts count="6" x14ac:knownFonts="1">
    <font>
      <sz val="11"/>
      <color rgb="FF000000"/>
      <name val="Calibri"/>
      <family val="2"/>
      <charset val="1"/>
    </font>
    <font>
      <b/>
      <sz val="14"/>
      <color rgb="FF000000"/>
      <name val="Arial Narrow"/>
      <family val="2"/>
      <charset val="1"/>
    </font>
    <font>
      <sz val="14"/>
      <color rgb="FF000000"/>
      <name val="Arial Narrow"/>
      <family val="2"/>
      <charset val="1"/>
    </font>
    <font>
      <sz val="14"/>
      <color rgb="FF000000"/>
      <name val="Wingdings"/>
      <charset val="2"/>
    </font>
    <font>
      <sz val="16"/>
      <color rgb="FFFF0000"/>
      <name val="Wingdings"/>
      <charset val="2"/>
    </font>
    <font>
      <b/>
      <sz val="12"/>
      <color rgb="FF000000"/>
      <name val="Arial Narrow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FFE699"/>
        <bgColor rgb="FFFFFF99"/>
      </patternFill>
    </fill>
    <fill>
      <patternFill patternType="solid">
        <fgColor rgb="FFFFC0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33FF99"/>
        <bgColor rgb="FF00FFFF"/>
      </patternFill>
    </fill>
    <fill>
      <patternFill patternType="solid">
        <fgColor rgb="FFC5E0B4"/>
        <bgColor rgb="FFC5E0B4"/>
      </patternFill>
    </fill>
    <fill>
      <patternFill patternType="solid">
        <fgColor rgb="FFC5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  <xf numFmtId="0" fontId="1" fillId="3" borderId="0" xfId="0" applyFont="1" applyFill="1" applyAlignment="1">
      <alignment horizontal="center"/>
    </xf>
    <xf numFmtId="0" fontId="2" fillId="4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5" borderId="4" xfId="0" applyFont="1" applyFill="1" applyBorder="1"/>
    <xf numFmtId="0" fontId="2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right" vertical="center"/>
    </xf>
    <xf numFmtId="0" fontId="2" fillId="5" borderId="5" xfId="0" applyFont="1" applyFill="1" applyBorder="1"/>
    <xf numFmtId="0" fontId="2" fillId="5" borderId="5" xfId="0" applyFont="1" applyFill="1" applyBorder="1" applyAlignment="1">
      <alignment vertical="center"/>
    </xf>
    <xf numFmtId="0" fontId="2" fillId="6" borderId="6" xfId="0" applyFont="1" applyFill="1" applyBorder="1"/>
    <xf numFmtId="0" fontId="2" fillId="6" borderId="4" xfId="0" applyFont="1" applyFill="1" applyBorder="1" applyAlignment="1">
      <alignment vertical="center"/>
    </xf>
    <xf numFmtId="0" fontId="2" fillId="6" borderId="5" xfId="0" applyFont="1" applyFill="1" applyBorder="1"/>
    <xf numFmtId="0" fontId="2" fillId="6" borderId="5" xfId="0" applyFont="1" applyFill="1" applyBorder="1" applyAlignment="1">
      <alignment vertical="center"/>
    </xf>
    <xf numFmtId="0" fontId="2" fillId="5" borderId="2" xfId="0" applyFont="1" applyFill="1" applyBorder="1"/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/>
    <xf numFmtId="0" fontId="2" fillId="6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2" borderId="1" xfId="0" applyFont="1" applyFill="1" applyBorder="1"/>
    <xf numFmtId="0" fontId="5" fillId="4" borderId="1" xfId="0" applyFont="1" applyFill="1" applyBorder="1"/>
    <xf numFmtId="0" fontId="5" fillId="0" borderId="0" xfId="0" applyFont="1"/>
    <xf numFmtId="164" fontId="2" fillId="0" borderId="1" xfId="0" applyNumberFormat="1" applyFont="1" applyBorder="1" applyAlignment="1">
      <alignment horizontal="center"/>
    </xf>
    <xf numFmtId="0" fontId="5" fillId="2" borderId="2" xfId="0" applyFont="1" applyFill="1" applyBorder="1"/>
    <xf numFmtId="0" fontId="2" fillId="0" borderId="14" xfId="0" applyFont="1" applyBorder="1"/>
    <xf numFmtId="0" fontId="2" fillId="0" borderId="15" xfId="0" applyFont="1" applyBorder="1"/>
    <xf numFmtId="164" fontId="2" fillId="0" borderId="2" xfId="0" applyNumberFormat="1" applyFont="1" applyBorder="1"/>
    <xf numFmtId="4" fontId="2" fillId="0" borderId="2" xfId="0" applyNumberFormat="1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1" xfId="0" applyBorder="1"/>
    <xf numFmtId="164" fontId="2" fillId="0" borderId="20" xfId="0" applyNumberFormat="1" applyFont="1" applyBorder="1"/>
    <xf numFmtId="0" fontId="0" fillId="7" borderId="1" xfId="0" applyFill="1" applyBorder="1"/>
    <xf numFmtId="0" fontId="0" fillId="8" borderId="1" xfId="0" applyFill="1" applyBorder="1"/>
    <xf numFmtId="0" fontId="0" fillId="10" borderId="22" xfId="0" applyFill="1" applyBorder="1"/>
    <xf numFmtId="0" fontId="0" fillId="10" borderId="23" xfId="0" applyFill="1" applyBorder="1"/>
    <xf numFmtId="0" fontId="0" fillId="10" borderId="24" xfId="0" applyFill="1" applyBorder="1"/>
    <xf numFmtId="0" fontId="0" fillId="9" borderId="21" xfId="0" applyFill="1" applyBorder="1"/>
    <xf numFmtId="0" fontId="0" fillId="11" borderId="22" xfId="0" applyFill="1" applyBorder="1"/>
    <xf numFmtId="0" fontId="0" fillId="12" borderId="1" xfId="0" applyFill="1" applyBorder="1"/>
    <xf numFmtId="0" fontId="0" fillId="0" borderId="0" xfId="0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" fillId="2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10" borderId="24" xfId="0" applyFill="1" applyBorder="1" applyAlignment="1">
      <alignment horizontal="center"/>
    </xf>
  </cellXfs>
  <cellStyles count="1">
    <cellStyle name="Standard" xfId="0" builtinId="0"/>
  </cellStyles>
  <dxfs count="6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699"/>
      <rgbColor rgb="FF3366FF"/>
      <rgbColor rgb="FF33FF99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5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showGridLines="0" tabSelected="1" zoomScale="170" zoomScaleNormal="170" workbookViewId="0">
      <selection sqref="A1:I1"/>
    </sheetView>
  </sheetViews>
  <sheetFormatPr baseColWidth="10" defaultColWidth="8.7109375" defaultRowHeight="15" x14ac:dyDescent="0.25"/>
  <cols>
    <col min="1" max="1" width="19.28515625" customWidth="1"/>
    <col min="2" max="4" width="7.7109375" customWidth="1"/>
    <col min="5" max="5" width="8.28515625" customWidth="1"/>
    <col min="6" max="8" width="7.7109375" customWidth="1"/>
    <col min="9" max="1025" width="8.28515625" customWidth="1"/>
  </cols>
  <sheetData>
    <row r="1" spans="1:9" ht="18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</row>
    <row r="2" spans="1:9" ht="18" x14ac:dyDescent="0.25">
      <c r="A2" s="2" t="s">
        <v>1</v>
      </c>
      <c r="B2" s="75" t="s">
        <v>2</v>
      </c>
      <c r="C2" s="76"/>
      <c r="D2" s="77"/>
      <c r="E2" s="3" t="s">
        <v>3</v>
      </c>
      <c r="F2" s="78" t="s">
        <v>4</v>
      </c>
      <c r="G2" s="78"/>
      <c r="H2" s="78"/>
      <c r="I2" s="3" t="s">
        <v>3</v>
      </c>
    </row>
    <row r="3" spans="1:9" ht="18" x14ac:dyDescent="0.25">
      <c r="A3" s="2" t="s">
        <v>7</v>
      </c>
      <c r="B3" s="4"/>
      <c r="C3" s="4"/>
      <c r="D3" s="4"/>
      <c r="E3" s="5">
        <f>IF(OR(B3="",C3="",D3="")=1,"",_xlfn.RANK.EQ(RECHNEN!A1,RECHNEN!$A$1:$A$15,0))</f>
        <v>1</v>
      </c>
      <c r="F3" s="4"/>
      <c r="G3" s="4"/>
      <c r="H3" s="4"/>
      <c r="I3" s="5">
        <f>IF(OR(F3="",G3="",H3="")=1,"",RECHNEN!$L$34+1-_xlfn.RANK.EQ(RECHNEN!B1,RECHNEN!$B$1:$B$16,0))</f>
        <v>11</v>
      </c>
    </row>
    <row r="4" spans="1:9" ht="18" x14ac:dyDescent="0.25">
      <c r="A4" s="2" t="s">
        <v>6</v>
      </c>
      <c r="B4" s="4"/>
      <c r="C4" s="4"/>
      <c r="D4" s="4"/>
      <c r="E4" s="5">
        <f>IF(OR(B4="",C4="",D4="")=1,"",_xlfn.RANK.EQ(RECHNEN!A2,RECHNEN!$A$1:$A$15,0))</f>
        <v>1</v>
      </c>
      <c r="F4" s="4"/>
      <c r="G4" s="4"/>
      <c r="H4" s="4"/>
      <c r="I4" s="5">
        <f>IF(OR(F4="",G4="",H4="")=1,"",RECHNEN!$L$34+1-_xlfn.RANK.EQ(RECHNEN!B2,RECHNEN!$B$1:$B$16,0))</f>
        <v>11</v>
      </c>
    </row>
    <row r="5" spans="1:9" ht="18" x14ac:dyDescent="0.25">
      <c r="A5" s="2" t="s">
        <v>17</v>
      </c>
      <c r="B5" s="4"/>
      <c r="C5" s="4"/>
      <c r="D5" s="4"/>
      <c r="E5" s="5">
        <f>IF(OR(B5="",C5="",D5="")=1,"",_xlfn.RANK.EQ(RECHNEN!A3,RECHNEN!$A$1:$A$15,0))</f>
        <v>1</v>
      </c>
      <c r="F5" s="4"/>
      <c r="G5" s="4"/>
      <c r="H5" s="4"/>
      <c r="I5" s="5">
        <f>IF(OR(F5="",G5="",H5="")=1,"",RECHNEN!$L$34+1-_xlfn.RANK.EQ(RECHNEN!B3,RECHNEN!$B$1:$B$16,0))</f>
        <v>11</v>
      </c>
    </row>
    <row r="6" spans="1:9" ht="18" x14ac:dyDescent="0.25">
      <c r="A6" s="2" t="s">
        <v>9</v>
      </c>
      <c r="B6" s="4"/>
      <c r="C6" s="4"/>
      <c r="D6" s="4"/>
      <c r="E6" s="5">
        <f>IF(OR(B6="",C6="",D6="")=1,"",_xlfn.RANK.EQ(RECHNEN!A4,RECHNEN!$A$1:$A$15,0))</f>
        <v>1</v>
      </c>
      <c r="F6" s="4"/>
      <c r="G6" s="4"/>
      <c r="H6" s="4"/>
      <c r="I6" s="5">
        <f>IF(OR(F6="",G6="",H6="")=1,"",RECHNEN!$L$34+1-_xlfn.RANK.EQ(RECHNEN!B4,RECHNEN!$B$1:$B$16,0))</f>
        <v>11</v>
      </c>
    </row>
    <row r="7" spans="1:9" ht="18" x14ac:dyDescent="0.25">
      <c r="A7" s="2" t="s">
        <v>105</v>
      </c>
      <c r="B7" s="4"/>
      <c r="C7" s="4"/>
      <c r="D7" s="4"/>
      <c r="E7" s="5">
        <f>IF(OR(B7="",C7="",D7="")=1,"",_xlfn.RANK.EQ(RECHNEN!A5,RECHNEN!$A$1:$A$15,0))</f>
        <v>1</v>
      </c>
      <c r="F7" s="4"/>
      <c r="G7" s="4"/>
      <c r="H7" s="4"/>
      <c r="I7" s="5">
        <f>IF(OR(F7="",G7="",H7="")=1,"",RECHNEN!$L$34+1-_xlfn.RANK.EQ(RECHNEN!B5,RECHNEN!$B$1:$B$16,0))</f>
        <v>11</v>
      </c>
    </row>
    <row r="8" spans="1:9" ht="18" x14ac:dyDescent="0.25">
      <c r="A8" s="2" t="s">
        <v>106</v>
      </c>
      <c r="B8" s="4"/>
      <c r="C8" s="4"/>
      <c r="D8" s="4"/>
      <c r="E8" s="5">
        <f>IF(OR(B8="",C8="",D8="")=1,"",_xlfn.RANK.EQ(RECHNEN!A6,RECHNEN!$A$1:$A$15,0))</f>
        <v>1</v>
      </c>
      <c r="F8" s="4"/>
      <c r="G8" s="4"/>
      <c r="H8" s="4"/>
      <c r="I8" s="5">
        <f>IF(OR(F8="",G8="",H8="")=1,"",RECHNEN!$L$34+1-_xlfn.RANK.EQ(RECHNEN!B6,RECHNEN!$B$1:$B$16,0))</f>
        <v>11</v>
      </c>
    </row>
    <row r="9" spans="1:9" ht="18" x14ac:dyDescent="0.25">
      <c r="A9" s="2" t="s">
        <v>8</v>
      </c>
      <c r="B9" s="4"/>
      <c r="C9" s="4"/>
      <c r="D9" s="4"/>
      <c r="E9" s="5">
        <f>IF(OR(B9="",C9="",D9="")=1,"",_xlfn.RANK.EQ(RECHNEN!A7,RECHNEN!$A$1:$A$15,0))</f>
        <v>1</v>
      </c>
      <c r="F9" s="4"/>
      <c r="G9" s="4"/>
      <c r="H9" s="4"/>
      <c r="I9" s="5">
        <f>IF(OR(F9="",G9="",H9="")=1,"",RECHNEN!$L$34+1-_xlfn.RANK.EQ(RECHNEN!B7,RECHNEN!$B$1:$B$16,0))</f>
        <v>11</v>
      </c>
    </row>
    <row r="10" spans="1:9" ht="18" x14ac:dyDescent="0.25">
      <c r="A10" s="2" t="s">
        <v>102</v>
      </c>
      <c r="B10" s="4"/>
      <c r="C10" s="4"/>
      <c r="D10" s="4"/>
      <c r="E10" s="5">
        <f>IF(OR(B10="",C10="",D10="")=1,"",_xlfn.RANK.EQ(RECHNEN!A8,RECHNEN!$A$1:$A$15,0))</f>
        <v>1</v>
      </c>
      <c r="F10" s="4"/>
      <c r="G10" s="4"/>
      <c r="H10" s="4"/>
      <c r="I10" s="5">
        <f>IF(OR(F10="",G10="",H10="")=1,"",RECHNEN!$L$34+1-_xlfn.RANK.EQ(RECHNEN!B8,RECHNEN!$B$1:$B$16,0))</f>
        <v>11</v>
      </c>
    </row>
    <row r="11" spans="1:9" ht="18" x14ac:dyDescent="0.25">
      <c r="A11" s="2" t="s">
        <v>103</v>
      </c>
      <c r="B11" s="4"/>
      <c r="C11" s="4"/>
      <c r="D11" s="4"/>
      <c r="E11" s="5">
        <f>IF(OR(B11="",C11="",D11="")=1,"",_xlfn.RANK.EQ(RECHNEN!A9,RECHNEN!$A$1:$A$15,0))</f>
        <v>1</v>
      </c>
      <c r="F11" s="4"/>
      <c r="G11" s="4"/>
      <c r="H11" s="4"/>
      <c r="I11" s="5">
        <f>IF(OR(F11="",G11="",H11="")=1,"",RECHNEN!$L$34+1-_xlfn.RANK.EQ(RECHNEN!B9,RECHNEN!$B$1:$B$16,0))</f>
        <v>11</v>
      </c>
    </row>
    <row r="12" spans="1:9" ht="18" x14ac:dyDescent="0.25">
      <c r="A12" s="2" t="s">
        <v>65</v>
      </c>
      <c r="B12" s="4"/>
      <c r="C12" s="4"/>
      <c r="D12" s="4"/>
      <c r="E12" s="5">
        <f>IF(OR(B12="",C12="",D12="")=1,"",_xlfn.RANK.EQ(RECHNEN!A10,RECHNEN!$A$1:$A$15,0))</f>
        <v>1</v>
      </c>
      <c r="F12" s="4"/>
      <c r="G12" s="4"/>
      <c r="H12" s="4"/>
      <c r="I12" s="5">
        <f>IF(OR(F12="",G12="",H12="")=1,"",RECHNEN!$L$34+1-_xlfn.RANK.EQ(RECHNEN!B10,RECHNEN!$B$1:$B$16,0))</f>
        <v>11</v>
      </c>
    </row>
    <row r="13" spans="1:9" ht="18" x14ac:dyDescent="0.25">
      <c r="A13" s="2" t="s">
        <v>5</v>
      </c>
      <c r="B13" s="4"/>
      <c r="C13" s="4"/>
      <c r="D13" s="4"/>
      <c r="E13" s="5">
        <f>IF(OR(B13="",C13="",D13="")=1,"",_xlfn.RANK.EQ(RECHNEN!A11,RECHNEN!$A$1:$A$15,0))</f>
        <v>1</v>
      </c>
      <c r="F13" s="4"/>
      <c r="G13" s="4"/>
      <c r="H13" s="4"/>
      <c r="I13" s="5">
        <f>IF(OR(F13="",G13="",H13="")=1,"",RECHNEN!$L$34+1-_xlfn.RANK.EQ(RECHNEN!B11,RECHNEN!$B$1:$B$16,0))</f>
        <v>11</v>
      </c>
    </row>
    <row r="14" spans="1:9" ht="18" x14ac:dyDescent="0.25">
      <c r="A14" s="2"/>
      <c r="B14" s="4"/>
      <c r="C14" s="4"/>
      <c r="D14" s="4"/>
      <c r="E14" s="5">
        <f>IF(OR(B14="",C14="",D14="")=1,"",_xlfn.RANK.EQ(RECHNEN!A12,RECHNEN!$A$1:$A$15,0))</f>
        <v>1</v>
      </c>
      <c r="F14" s="4"/>
      <c r="G14" s="4"/>
      <c r="H14" s="4"/>
      <c r="I14" s="5">
        <f>IF(OR(F14="",G14="",H14="")=1,"",RECHNEN!$L$34+1-_xlfn.RANK.EQ(RECHNEN!B12,RECHNEN!$B$1:$B$16,0))</f>
        <v>11</v>
      </c>
    </row>
    <row r="15" spans="1:9" ht="18" x14ac:dyDescent="0.25">
      <c r="A15" s="2"/>
      <c r="B15" s="4"/>
      <c r="C15" s="4"/>
      <c r="D15" s="4"/>
      <c r="E15" s="5">
        <f>IF(OR(B15="",C15="",D15="")=1,"",_xlfn.RANK.EQ(RECHNEN!A13,RECHNEN!$A$1:$A$15,0))</f>
        <v>1</v>
      </c>
      <c r="F15" s="4"/>
      <c r="G15" s="4"/>
      <c r="H15" s="4"/>
      <c r="I15" s="5">
        <f>IF(OR(F15="",G15="",H15="")=1,"",RECHNEN!$L$34+1-_xlfn.RANK.EQ(RECHNEN!B13,RECHNEN!$B$1:$B$16,0))</f>
        <v>11</v>
      </c>
    </row>
    <row r="16" spans="1:9" ht="18" x14ac:dyDescent="0.25">
      <c r="A16" s="2"/>
      <c r="B16" s="4"/>
      <c r="C16" s="4"/>
      <c r="D16" s="4"/>
      <c r="E16" s="5">
        <f>IF(OR(B16="",C16="",D16="")=1,"",_xlfn.RANK.EQ(RECHNEN!A14,RECHNEN!$A$1:$A$15,0))</f>
        <v>1</v>
      </c>
      <c r="F16" s="4"/>
      <c r="G16" s="4"/>
      <c r="H16" s="4"/>
      <c r="I16" s="5">
        <f>IF(OR(F16="",G16="",H16="")=1,"",RECHNEN!$L$34+1-_xlfn.RANK.EQ(RECHNEN!B14,RECHNEN!$B$1:$B$16,0))</f>
        <v>11</v>
      </c>
    </row>
    <row r="17" spans="1:9" ht="18" x14ac:dyDescent="0.25">
      <c r="A17" s="2"/>
      <c r="B17" s="4"/>
      <c r="C17" s="4"/>
      <c r="D17" s="4"/>
      <c r="E17" s="5">
        <f>IF(OR(B17="",C17="",D17="")=1,"",_xlfn.RANK.EQ(RECHNEN!A15,RECHNEN!$A$1:$A$15,0))</f>
        <v>1</v>
      </c>
      <c r="F17" s="4"/>
      <c r="G17" s="4"/>
      <c r="H17" s="4"/>
      <c r="I17" s="5">
        <f>IF(OR(F17="",G17="",H17="")=1,"",RECHNEN!$L$34+1-_xlfn.RANK.EQ(RECHNEN!B15,RECHNEN!$B$1:$B$16,0))</f>
        <v>11</v>
      </c>
    </row>
  </sheetData>
  <mergeCells count="3">
    <mergeCell ref="A1:I1"/>
    <mergeCell ref="B2:D2"/>
    <mergeCell ref="F2:H2"/>
  </mergeCells>
  <conditionalFormatting sqref="A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{117FAF1D-301F-4AE6-86C3-E05E73BD2E7F}</x14:id>
        </ext>
      </extLst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{BD40C5B0-67D7-4610-9CCA-729056ECD126}</x14:id>
        </ext>
      </extLst>
    </cfRule>
  </conditionalFormatting>
  <conditionalFormatting sqref="A5:A10 A12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{4CF28B7F-D143-4913-B1C1-09317C92E679}</x14:id>
        </ext>
      </extLst>
    </cfRule>
  </conditionalFormatting>
  <conditionalFormatting sqref="A2:A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{38C619FC-3803-4EC0-A2AA-E13AACDCACBC}</x14:id>
        </ext>
      </extLst>
    </cfRule>
  </conditionalFormatting>
  <conditionalFormatting sqref="A14:A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{EC8BCC90-E543-4D60-A87C-54A4EA216464}</x14:id>
        </ext>
      </extLst>
    </cfRule>
  </conditionalFormatting>
  <conditionalFormatting sqref="E3:E17">
    <cfRule type="containsText" dxfId="5" priority="6" operator="containsText" text="1"/>
  </conditionalFormatting>
  <conditionalFormatting sqref="I3:I17">
    <cfRule type="containsText" dxfId="4" priority="7" operator="containsText" text="1"/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7FAF1D-301F-4AE6-86C3-E05E73BD2E7F}">
            <x14:dataBar>
              <x14:cfvo type="autoMin"/>
              <x14:cfvo type="autoMax"/>
              <x14:negativeFillColor rgb="FFFF0000"/>
              <x14:axisColor rgb="FF000000"/>
            </x14:dataBar>
          </x14:cfRule>
          <x14:cfRule type="dataBar" id="{BD40C5B0-67D7-4610-9CCA-729056ECD126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A2</xm:sqref>
        </x14:conditionalFormatting>
        <x14:conditionalFormatting xmlns:xm="http://schemas.microsoft.com/office/excel/2006/main">
          <x14:cfRule type="dataBar" id="{4CF28B7F-D143-4913-B1C1-09317C92E679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A5:A10 A12:A13</xm:sqref>
        </x14:conditionalFormatting>
        <x14:conditionalFormatting xmlns:xm="http://schemas.microsoft.com/office/excel/2006/main">
          <x14:cfRule type="dataBar" id="{38C619FC-3803-4EC0-A2AA-E13AACDCACBC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A2:A17</xm:sqref>
        </x14:conditionalFormatting>
        <x14:conditionalFormatting xmlns:xm="http://schemas.microsoft.com/office/excel/2006/main">
          <x14:cfRule type="dataBar" id="{EC8BCC90-E543-4D60-A87C-54A4EA216464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A14:A17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showGridLines="0" zoomScale="145" zoomScaleNormal="145" workbookViewId="0">
      <selection activeCell="A16" sqref="A16"/>
    </sheetView>
  </sheetViews>
  <sheetFormatPr baseColWidth="10" defaultColWidth="8.7109375" defaultRowHeight="15" x14ac:dyDescent="0.25"/>
  <cols>
    <col min="1" max="1" width="11.140625" customWidth="1"/>
    <col min="2" max="8" width="4" customWidth="1"/>
    <col min="9" max="9" width="10.28515625" customWidth="1"/>
    <col min="10" max="10" width="8.42578125" customWidth="1"/>
    <col min="11" max="11" width="17.5703125" customWidth="1"/>
    <col min="12" max="12" width="11.28515625" customWidth="1"/>
    <col min="13" max="1025" width="8.28515625" customWidth="1"/>
  </cols>
  <sheetData>
    <row r="1" spans="1:12" ht="18" x14ac:dyDescent="0.25">
      <c r="A1" s="74" t="s">
        <v>10</v>
      </c>
      <c r="B1" s="74"/>
      <c r="C1" s="74"/>
      <c r="D1" s="74"/>
      <c r="E1" s="74"/>
      <c r="F1" s="74"/>
      <c r="G1" s="74"/>
      <c r="H1" s="74"/>
      <c r="I1" s="1" t="s">
        <v>11</v>
      </c>
      <c r="J1" s="1" t="s">
        <v>12</v>
      </c>
      <c r="K1" s="1" t="s">
        <v>13</v>
      </c>
      <c r="L1" s="7" t="s">
        <v>14</v>
      </c>
    </row>
    <row r="2" spans="1:12" ht="18" x14ac:dyDescent="0.25">
      <c r="A2" s="2" t="s">
        <v>7</v>
      </c>
      <c r="B2" s="4"/>
      <c r="C2" s="4"/>
      <c r="D2" s="4"/>
      <c r="E2" s="4"/>
      <c r="F2" s="4"/>
      <c r="G2" s="4"/>
      <c r="H2" s="4"/>
      <c r="I2" s="4">
        <f t="shared" ref="I2:I18" si="0">SUM(B2,C2,D2,E2,F2,G2,H2)</f>
        <v>0</v>
      </c>
      <c r="J2" s="4"/>
      <c r="K2" s="4">
        <f>SUM(I2,J2)</f>
        <v>0</v>
      </c>
      <c r="L2" s="8" t="str">
        <f>IF(AND(K2=0,J2=0),"",IF(K2&gt;21,"TOT",IF(K2=21,"1",IF(ABS(K2-21)=SMALL(RECHNEN!$C$1:$C$16,1),"1",IF(ABS(K2-21)=SMALL(RECHNEN!$C$1:$C$16,2),"2",IF(ABS(K2-21)=SMALL(RECHNEN!$C$1:$C$16,3),"3",IF(ABS(K2-21)=SMALL(RECHNEN!$C$1:$C$16,4),"4",IF(ABS(K2-21)=SMALL(RECHNEN!$C$1:$C$16,5),"5",IF(ABS(K2-21)=SMALL(RECHNEN!$C$1:$C$16,6),"6",IF(ABS(K2-21)=SMALL(RECHNEN!$C$1:$C$16,7),"7",IF(ABS(K2-21)=SMALL(RECHNEN!$C$1:$C$16,8),"8",IF(ABS(K2-21)=SMALL(RECHNEN!$C$1:$C$16,9),"9",IF(ABS(K2-21)=SMALL(RECHNEN!$C$1:$C$16,10),"10",IF(ABS(K2-21)=SMALL(RECHNEN!$C$1:$C$16,11),"11",IF(ABS(K2-21)=SMALL(RECHNEN!$C$1:$C$16,12),"12","13")))))))))))))))</f>
        <v/>
      </c>
    </row>
    <row r="3" spans="1:12" ht="18" x14ac:dyDescent="0.25">
      <c r="A3" s="2" t="s">
        <v>6</v>
      </c>
      <c r="B3" s="4"/>
      <c r="C3" s="4"/>
      <c r="D3" s="4"/>
      <c r="E3" s="4"/>
      <c r="F3" s="4"/>
      <c r="G3" s="4"/>
      <c r="H3" s="4"/>
      <c r="I3" s="4">
        <f t="shared" si="0"/>
        <v>0</v>
      </c>
      <c r="J3" s="4"/>
      <c r="K3" s="4">
        <f t="shared" ref="K3:K10" si="1">SUM(I3,J3)</f>
        <v>0</v>
      </c>
      <c r="L3" s="8" t="str">
        <f>IF(AND(K3=0,J3=0),"",IF(K3&gt;21,"TOT",IF(K3=21,"1",IF(ABS(K3-21)=SMALL(RECHNEN!$C$1:$C$16,1),"1",IF(ABS(K3-21)=SMALL(RECHNEN!$C$1:$C$16,2),"2",IF(ABS(K3-21)=SMALL(RECHNEN!$C$1:$C$16,3),"3",IF(ABS(K3-21)=SMALL(RECHNEN!$C$1:$C$16,4),"4",IF(ABS(K3-21)=SMALL(RECHNEN!$C$1:$C$16,5),"5",IF(ABS(K3-21)=SMALL(RECHNEN!$C$1:$C$16,6),"6",IF(ABS(K3-21)=SMALL(RECHNEN!$C$1:$C$16,7),"7",IF(ABS(K3-21)=SMALL(RECHNEN!$C$1:$C$16,8),"8",IF(ABS(K3-21)=SMALL(RECHNEN!$C$1:$C$16,9),"9",IF(ABS(K3-21)=SMALL(RECHNEN!$C$1:$C$16,10),"10",IF(ABS(K3-21)=SMALL(RECHNEN!$C$1:$C$16,11),"11",IF(ABS(K3-21)=SMALL(RECHNEN!$C$1:$C$16,12),"12","13")))))))))))))))</f>
        <v/>
      </c>
    </row>
    <row r="4" spans="1:12" ht="18" x14ac:dyDescent="0.25">
      <c r="A4" s="2" t="s">
        <v>17</v>
      </c>
      <c r="B4" s="4"/>
      <c r="C4" s="4"/>
      <c r="D4" s="4"/>
      <c r="E4" s="4"/>
      <c r="F4" s="4"/>
      <c r="G4" s="4"/>
      <c r="H4" s="4"/>
      <c r="I4" s="4">
        <f t="shared" si="0"/>
        <v>0</v>
      </c>
      <c r="J4" s="4"/>
      <c r="K4" s="4">
        <f t="shared" si="1"/>
        <v>0</v>
      </c>
      <c r="L4" s="8" t="str">
        <f>IF(AND(K4=0,J4=0),"",IF(K4&gt;21,"TOT",IF(K4=21,"1",IF(ABS(K4-21)=SMALL(RECHNEN!$C$1:$C$16,1),"1",IF(ABS(K4-21)=SMALL(RECHNEN!$C$1:$C$16,2),"2",IF(ABS(K4-21)=SMALL(RECHNEN!$C$1:$C$16,3),"3",IF(ABS(K4-21)=SMALL(RECHNEN!$C$1:$C$16,4),"4",IF(ABS(K4-21)=SMALL(RECHNEN!$C$1:$C$16,5),"5",IF(ABS(K4-21)=SMALL(RECHNEN!$C$1:$C$16,6),"6",IF(ABS(K4-21)=SMALL(RECHNEN!$C$1:$C$16,7),"7",IF(ABS(K4-21)=SMALL(RECHNEN!$C$1:$C$16,8),"8",IF(ABS(K4-21)=SMALL(RECHNEN!$C$1:$C$16,9),"9",IF(ABS(K4-21)=SMALL(RECHNEN!$C$1:$C$16,10),"10",IF(ABS(K4-21)=SMALL(RECHNEN!$C$1:$C$16,11),"11",IF(ABS(K4-21)=SMALL(RECHNEN!$C$1:$C$16,12),"12","13")))))))))))))))</f>
        <v/>
      </c>
    </row>
    <row r="5" spans="1:12" ht="18" x14ac:dyDescent="0.25">
      <c r="A5" s="2" t="s">
        <v>9</v>
      </c>
      <c r="B5" s="4"/>
      <c r="C5" s="4"/>
      <c r="D5" s="4"/>
      <c r="E5" s="4"/>
      <c r="F5" s="4"/>
      <c r="G5" s="4"/>
      <c r="H5" s="4"/>
      <c r="I5" s="4">
        <f t="shared" si="0"/>
        <v>0</v>
      </c>
      <c r="J5" s="4"/>
      <c r="K5" s="4">
        <f t="shared" si="1"/>
        <v>0</v>
      </c>
      <c r="L5" s="8" t="str">
        <f>IF(AND(K5=0,J5=0),"",IF(K5&gt;21,"TOT",IF(K5=21,"1",IF(ABS(K5-21)=SMALL(RECHNEN!$C$1:$C$16,1),"1",IF(ABS(K5-21)=SMALL(RECHNEN!$C$1:$C$16,2),"2",IF(ABS(K5-21)=SMALL(RECHNEN!$C$1:$C$16,3),"3",IF(ABS(K5-21)=SMALL(RECHNEN!$C$1:$C$16,4),"4",IF(ABS(K5-21)=SMALL(RECHNEN!$C$1:$C$16,5),"5",IF(ABS(K5-21)=SMALL(RECHNEN!$C$1:$C$16,6),"6",IF(ABS(K5-21)=SMALL(RECHNEN!$C$1:$C$16,7),"7",IF(ABS(K5-21)=SMALL(RECHNEN!$C$1:$C$16,8),"8",IF(ABS(K5-21)=SMALL(RECHNEN!$C$1:$C$16,9),"9",IF(ABS(K5-21)=SMALL(RECHNEN!$C$1:$C$16,10),"10",IF(ABS(K5-21)=SMALL(RECHNEN!$C$1:$C$16,11),"11",IF(ABS(K5-21)=SMALL(RECHNEN!$C$1:$C$16,12),"12","13")))))))))))))))</f>
        <v/>
      </c>
    </row>
    <row r="6" spans="1:12" ht="18" x14ac:dyDescent="0.25">
      <c r="A6" s="2" t="s">
        <v>105</v>
      </c>
      <c r="B6" s="4"/>
      <c r="C6" s="4"/>
      <c r="D6" s="4"/>
      <c r="E6" s="4"/>
      <c r="F6" s="4"/>
      <c r="G6" s="4"/>
      <c r="H6" s="4"/>
      <c r="I6" s="4">
        <f t="shared" si="0"/>
        <v>0</v>
      </c>
      <c r="J6" s="4"/>
      <c r="K6" s="4">
        <f t="shared" si="1"/>
        <v>0</v>
      </c>
      <c r="L6" s="8" t="str">
        <f>IF(AND(K6=0,J6=0),"",IF(K6&gt;21,"TOT",IF(K6=21,"1",IF(ABS(K6-21)=SMALL(RECHNEN!$C$1:$C$16,1),"1",IF(ABS(K6-21)=SMALL(RECHNEN!$C$1:$C$16,2),"2",IF(ABS(K6-21)=SMALL(RECHNEN!$C$1:$C$16,3),"3",IF(ABS(K6-21)=SMALL(RECHNEN!$C$1:$C$16,4),"4",IF(ABS(K6-21)=SMALL(RECHNEN!$C$1:$C$16,5),"5",IF(ABS(K6-21)=SMALL(RECHNEN!$C$1:$C$16,6),"6",IF(ABS(K6-21)=SMALL(RECHNEN!$C$1:$C$16,7),"7",IF(ABS(K6-21)=SMALL(RECHNEN!$C$1:$C$16,8),"8",IF(ABS(K6-21)=SMALL(RECHNEN!$C$1:$C$16,9),"9",IF(ABS(K6-21)=SMALL(RECHNEN!$C$1:$C$16,10),"10",IF(ABS(K6-21)=SMALL(RECHNEN!$C$1:$C$16,11),"11",IF(ABS(K6-21)=SMALL(RECHNEN!$C$1:$C$16,12),"12","13")))))))))))))))</f>
        <v/>
      </c>
    </row>
    <row r="7" spans="1:12" ht="18" x14ac:dyDescent="0.25">
      <c r="A7" s="2" t="s">
        <v>106</v>
      </c>
      <c r="B7" s="4"/>
      <c r="C7" s="4"/>
      <c r="D7" s="4"/>
      <c r="E7" s="4"/>
      <c r="F7" s="4"/>
      <c r="G7" s="4"/>
      <c r="H7" s="4"/>
      <c r="I7" s="4">
        <f t="shared" si="0"/>
        <v>0</v>
      </c>
      <c r="J7" s="4"/>
      <c r="K7" s="4">
        <f t="shared" si="1"/>
        <v>0</v>
      </c>
      <c r="L7" s="8" t="str">
        <f>IF(AND(K7=0,J7=0),"",IF(K7&gt;21,"TOT",IF(K7=21,"1",IF(ABS(K7-21)=SMALL(RECHNEN!$C$1:$C$16,1),"1",IF(ABS(K7-21)=SMALL(RECHNEN!$C$1:$C$16,2),"2",IF(ABS(K7-21)=SMALL(RECHNEN!$C$1:$C$16,3),"3",IF(ABS(K7-21)=SMALL(RECHNEN!$C$1:$C$16,4),"4",IF(ABS(K7-21)=SMALL(RECHNEN!$C$1:$C$16,5),"5",IF(ABS(K7-21)=SMALL(RECHNEN!$C$1:$C$16,6),"6",IF(ABS(K7-21)=SMALL(RECHNEN!$C$1:$C$16,7),"7",IF(ABS(K7-21)=SMALL(RECHNEN!$C$1:$C$16,8),"8",IF(ABS(K7-21)=SMALL(RECHNEN!$C$1:$C$16,9),"9",IF(ABS(K7-21)=SMALL(RECHNEN!$C$1:$C$16,10),"10",IF(ABS(K7-21)=SMALL(RECHNEN!$C$1:$C$16,11),"11",IF(ABS(K7-21)=SMALL(RECHNEN!$C$1:$C$16,12),"12","13")))))))))))))))</f>
        <v/>
      </c>
    </row>
    <row r="8" spans="1:12" ht="18" x14ac:dyDescent="0.25">
      <c r="A8" s="2" t="s">
        <v>8</v>
      </c>
      <c r="B8" s="4"/>
      <c r="C8" s="4"/>
      <c r="D8" s="4"/>
      <c r="E8" s="4"/>
      <c r="F8" s="4"/>
      <c r="G8" s="4"/>
      <c r="H8" s="4"/>
      <c r="I8" s="4">
        <f t="shared" si="0"/>
        <v>0</v>
      </c>
      <c r="J8" s="4"/>
      <c r="K8" s="4">
        <f t="shared" si="1"/>
        <v>0</v>
      </c>
      <c r="L8" s="8" t="str">
        <f>IF(AND(K8=0,J8=0),"",IF(K8&gt;21,"TOT",IF(K8=21,"1",IF(ABS(K8-21)=SMALL(RECHNEN!$C$1:$C$16,1),"1",IF(ABS(K8-21)=SMALL(RECHNEN!$C$1:$C$16,2),"2",IF(ABS(K8-21)=SMALL(RECHNEN!$C$1:$C$16,3),"3",IF(ABS(K8-21)=SMALL(RECHNEN!$C$1:$C$16,4),"4",IF(ABS(K8-21)=SMALL(RECHNEN!$C$1:$C$16,5),"5",IF(ABS(K8-21)=SMALL(RECHNEN!$C$1:$C$16,6),"6",IF(ABS(K8-21)=SMALL(RECHNEN!$C$1:$C$16,7),"7",IF(ABS(K8-21)=SMALL(RECHNEN!$C$1:$C$16,8),"8",IF(ABS(K8-21)=SMALL(RECHNEN!$C$1:$C$16,9),"9",IF(ABS(K8-21)=SMALL(RECHNEN!$C$1:$C$16,10),"10",IF(ABS(K8-21)=SMALL(RECHNEN!$C$1:$C$16,11),"11",IF(ABS(K8-21)=SMALL(RECHNEN!$C$1:$C$16,12),"12","13")))))))))))))))</f>
        <v/>
      </c>
    </row>
    <row r="9" spans="1:12" ht="18" x14ac:dyDescent="0.25">
      <c r="A9" s="2" t="s">
        <v>102</v>
      </c>
      <c r="B9" s="4"/>
      <c r="C9" s="4"/>
      <c r="D9" s="4"/>
      <c r="E9" s="4"/>
      <c r="F9" s="4"/>
      <c r="G9" s="4"/>
      <c r="H9" s="4"/>
      <c r="I9" s="4">
        <f t="shared" si="0"/>
        <v>0</v>
      </c>
      <c r="J9" s="4"/>
      <c r="K9" s="4">
        <f t="shared" si="1"/>
        <v>0</v>
      </c>
      <c r="L9" s="8" t="str">
        <f>IF(AND(K9=0,J9=0),"",IF(K9&gt;21,"TOT",IF(K9=21,"1",IF(ABS(K9-21)=SMALL(RECHNEN!$C$1:$C$16,1),"1",IF(ABS(K9-21)=SMALL(RECHNEN!$C$1:$C$16,2),"2",IF(ABS(K9-21)=SMALL(RECHNEN!$C$1:$C$16,3),"3",IF(ABS(K9-21)=SMALL(RECHNEN!$C$1:$C$16,4),"4",IF(ABS(K9-21)=SMALL(RECHNEN!$C$1:$C$16,5),"5",IF(ABS(K9-21)=SMALL(RECHNEN!$C$1:$C$16,6),"6",IF(ABS(K9-21)=SMALL(RECHNEN!$C$1:$C$16,7),"7",IF(ABS(K9-21)=SMALL(RECHNEN!$C$1:$C$16,8),"8",IF(ABS(K9-21)=SMALL(RECHNEN!$C$1:$C$16,9),"9",IF(ABS(K9-21)=SMALL(RECHNEN!$C$1:$C$16,10),"10",IF(ABS(K9-21)=SMALL(RECHNEN!$C$1:$C$16,11),"11",IF(ABS(K9-21)=SMALL(RECHNEN!$C$1:$C$16,12),"12","13")))))))))))))))</f>
        <v/>
      </c>
    </row>
    <row r="10" spans="1:12" ht="18" x14ac:dyDescent="0.25">
      <c r="A10" s="2" t="s">
        <v>103</v>
      </c>
      <c r="B10" s="4"/>
      <c r="C10" s="4"/>
      <c r="D10" s="4"/>
      <c r="E10" s="4"/>
      <c r="F10" s="4"/>
      <c r="G10" s="4"/>
      <c r="H10" s="4"/>
      <c r="I10" s="4">
        <f t="shared" si="0"/>
        <v>0</v>
      </c>
      <c r="J10" s="4"/>
      <c r="K10" s="4">
        <f t="shared" si="1"/>
        <v>0</v>
      </c>
      <c r="L10" s="8" t="str">
        <f>IF(AND(K10=0,J10=0),"",IF(K10&gt;21,"TOT",IF(K10=21,"1",IF(ABS(K10-21)=SMALL(RECHNEN!$C$1:$C$16,1),"1",IF(ABS(K10-21)=SMALL(RECHNEN!$C$1:$C$16,2),"2",IF(ABS(K10-21)=SMALL(RECHNEN!$C$1:$C$16,3),"3",IF(ABS(K10-21)=SMALL(RECHNEN!$C$1:$C$16,4),"4",IF(ABS(K10-21)=SMALL(RECHNEN!$C$1:$C$16,5),"5",IF(ABS(K10-21)=SMALL(RECHNEN!$C$1:$C$16,6),"6",IF(ABS(K10-21)=SMALL(RECHNEN!$C$1:$C$16,7),"7",IF(ABS(K10-21)=SMALL(RECHNEN!$C$1:$C$16,8),"8",IF(ABS(K10-21)=SMALL(RECHNEN!$C$1:$C$16,9),"9",IF(ABS(K10-21)=SMALL(RECHNEN!$C$1:$C$16,10),"10",IF(ABS(K10-21)=SMALL(RECHNEN!$C$1:$C$16,11),"11",IF(ABS(K10-21)=SMALL(RECHNEN!$C$1:$C$16,12),"12","13")))))))))))))))</f>
        <v/>
      </c>
    </row>
    <row r="11" spans="1:12" ht="18" x14ac:dyDescent="0.25">
      <c r="A11" s="2" t="s">
        <v>65</v>
      </c>
      <c r="B11" s="4"/>
      <c r="C11" s="4"/>
      <c r="D11" s="4"/>
      <c r="E11" s="4"/>
      <c r="F11" s="4"/>
      <c r="G11" s="4"/>
      <c r="H11" s="4"/>
      <c r="I11" s="4">
        <f t="shared" si="0"/>
        <v>0</v>
      </c>
      <c r="J11" s="4"/>
      <c r="K11" s="4">
        <f t="shared" ref="K11:K18" si="2">SUM(I11,J11)</f>
        <v>0</v>
      </c>
      <c r="L11" s="8" t="str">
        <f>IF(AND(K11=0,J11=0),"",IF(K11&gt;21,"TOT",IF(K11=21,"1",IF(ABS(K11-21)=SMALL(RECHNEN!$C$1:$C$16,1),"1",IF(ABS(K11-21)=SMALL(RECHNEN!$C$1:$C$16,2),"2",IF(ABS(K11-21)=SMALL(RECHNEN!$C$1:$C$16,3),"3",IF(ABS(K11-21)=SMALL(RECHNEN!$C$1:$C$16,4),"4",IF(ABS(K11-21)=SMALL(RECHNEN!$C$1:$C$16,5),"5",IF(ABS(K11-21)=SMALL(RECHNEN!$C$1:$C$16,6),"6",IF(ABS(K11-21)=SMALL(RECHNEN!$C$1:$C$16,7),"7",IF(ABS(K11-21)=SMALL(RECHNEN!$C$1:$C$16,8),"8",IF(ABS(K11-21)=SMALL(RECHNEN!$C$1:$C$16,9),"9",IF(ABS(K11-21)=SMALL(RECHNEN!$C$1:$C$16,10),"10",IF(ABS(K11-21)=SMALL(RECHNEN!$C$1:$C$16,11),"11",IF(ABS(K11-21)=SMALL(RECHNEN!$C$1:$C$16,12),"12","13")))))))))))))))</f>
        <v/>
      </c>
    </row>
    <row r="12" spans="1:12" ht="18" x14ac:dyDescent="0.25">
      <c r="A12" s="2" t="s">
        <v>5</v>
      </c>
      <c r="B12" s="4"/>
      <c r="C12" s="4"/>
      <c r="D12" s="4"/>
      <c r="E12" s="4"/>
      <c r="F12" s="4"/>
      <c r="G12" s="4"/>
      <c r="H12" s="4"/>
      <c r="I12" s="4">
        <f t="shared" si="0"/>
        <v>0</v>
      </c>
      <c r="J12" s="4"/>
      <c r="K12" s="4">
        <f t="shared" si="2"/>
        <v>0</v>
      </c>
      <c r="L12" s="8" t="str">
        <f>IF(AND(K12=0,J12=0),"",IF(K12&gt;21,"TOT",IF(K12=21,"1",IF(ABS(K12-21)=SMALL(RECHNEN!$C$1:$C$16,1),"1",IF(ABS(K12-21)=SMALL(RECHNEN!$C$1:$C$16,2),"2",IF(ABS(K12-21)=SMALL(RECHNEN!$C$1:$C$16,3),"3",IF(ABS(K12-21)=SMALL(RECHNEN!$C$1:$C$16,4),"4",IF(ABS(K12-21)=SMALL(RECHNEN!$C$1:$C$16,5),"5",IF(ABS(K12-21)=SMALL(RECHNEN!$C$1:$C$16,6),"6",IF(ABS(K12-21)=SMALL(RECHNEN!$C$1:$C$16,7),"7",IF(ABS(K12-21)=SMALL(RECHNEN!$C$1:$C$16,8),"8",IF(ABS(K12-21)=SMALL(RECHNEN!$C$1:$C$16,9),"9",IF(ABS(K12-21)=SMALL(RECHNEN!$C$1:$C$16,10),"10",IF(ABS(K12-21)=SMALL(RECHNEN!$C$1:$C$16,11),"11",IF(ABS(K12-21)=SMALL(RECHNEN!$C$1:$C$16,12),"12","13")))))))))))))))</f>
        <v/>
      </c>
    </row>
    <row r="13" spans="1:12" ht="18" x14ac:dyDescent="0.25">
      <c r="A13" s="2"/>
      <c r="B13" s="4"/>
      <c r="C13" s="4"/>
      <c r="D13" s="4"/>
      <c r="E13" s="4"/>
      <c r="F13" s="4"/>
      <c r="G13" s="4"/>
      <c r="H13" s="4"/>
      <c r="I13" s="4">
        <f t="shared" si="0"/>
        <v>0</v>
      </c>
      <c r="J13" s="4"/>
      <c r="K13" s="4">
        <f t="shared" si="2"/>
        <v>0</v>
      </c>
      <c r="L13" s="8" t="str">
        <f>IF(AND(K13=0,J13=0),"",IF(K13&gt;21,"TOT",IF(K13=21,"1",IF(ABS(K13-21)=SMALL(RECHNEN!$C$1:$C$16,1),"1",IF(ABS(K13-21)=SMALL(RECHNEN!$C$1:$C$16,2),"2",IF(ABS(K13-21)=SMALL(RECHNEN!$C$1:$C$16,3),"3",IF(ABS(K13-21)=SMALL(RECHNEN!$C$1:$C$16,4),"4",IF(ABS(K13-21)=SMALL(RECHNEN!$C$1:$C$16,5),"5",IF(ABS(K13-21)=SMALL(RECHNEN!$C$1:$C$16,6),"6",IF(ABS(K13-21)=SMALL(RECHNEN!$C$1:$C$16,7),"7",IF(ABS(K13-21)=SMALL(RECHNEN!$C$1:$C$16,8),"8",IF(ABS(K13-21)=SMALL(RECHNEN!$C$1:$C$16,9),"9",IF(ABS(K13-21)=SMALL(RECHNEN!$C$1:$C$16,10),"10",IF(ABS(K13-21)=SMALL(RECHNEN!$C$1:$C$16,11),"11",IF(ABS(K13-21)=SMALL(RECHNEN!$C$1:$C$16,12),"12","13")))))))))))))))</f>
        <v/>
      </c>
    </row>
    <row r="14" spans="1:12" ht="18" x14ac:dyDescent="0.25">
      <c r="A14" s="2"/>
      <c r="B14" s="4"/>
      <c r="C14" s="4"/>
      <c r="D14" s="4"/>
      <c r="E14" s="4"/>
      <c r="F14" s="4"/>
      <c r="G14" s="4"/>
      <c r="H14" s="4"/>
      <c r="I14" s="4">
        <f t="shared" si="0"/>
        <v>0</v>
      </c>
      <c r="J14" s="4"/>
      <c r="K14" s="4">
        <f t="shared" si="2"/>
        <v>0</v>
      </c>
      <c r="L14" s="8" t="str">
        <f>IF(AND(K14=0,J14=0),"",IF(K14&gt;21,"TOT",IF(K14=21,"1",IF(ABS(K14-21)=SMALL(RECHNEN!$C$1:$C$16,1),"1",IF(ABS(K14-21)=SMALL(RECHNEN!$C$1:$C$16,2),"2",IF(ABS(K14-21)=SMALL(RECHNEN!$C$1:$C$16,3),"3",IF(ABS(K14-21)=SMALL(RECHNEN!$C$1:$C$16,4),"4",IF(ABS(K14-21)=SMALL(RECHNEN!$C$1:$C$16,5),"5",IF(ABS(K14-21)=SMALL(RECHNEN!$C$1:$C$16,6),"6",IF(ABS(K14-21)=SMALL(RECHNEN!$C$1:$C$16,7),"7",IF(ABS(K14-21)=SMALL(RECHNEN!$C$1:$C$16,8),"8",IF(ABS(K14-21)=SMALL(RECHNEN!$C$1:$C$16,9),"9",IF(ABS(K14-21)=SMALL(RECHNEN!$C$1:$C$16,10),"10",IF(ABS(K14-21)=SMALL(RECHNEN!$C$1:$C$16,11),"11",IF(ABS(K14-21)=SMALL(RECHNEN!$C$1:$C$16,12),"12","13")))))))))))))))</f>
        <v/>
      </c>
    </row>
    <row r="15" spans="1:12" ht="18" x14ac:dyDescent="0.25">
      <c r="A15" s="2"/>
      <c r="B15" s="4"/>
      <c r="C15" s="4"/>
      <c r="D15" s="4"/>
      <c r="E15" s="4"/>
      <c r="F15" s="4"/>
      <c r="G15" s="4"/>
      <c r="H15" s="4"/>
      <c r="I15" s="4">
        <f t="shared" si="0"/>
        <v>0</v>
      </c>
      <c r="J15" s="4"/>
      <c r="K15" s="4">
        <f t="shared" si="2"/>
        <v>0</v>
      </c>
      <c r="L15" s="8" t="str">
        <f>IF(AND(K15=0,J15=0),"",IF(K15&gt;21,"TOT",IF(K15=21,"1",IF(ABS(K15-21)=SMALL(RECHNEN!$C$1:$C$16,1),"1",IF(ABS(K15-21)=SMALL(RECHNEN!$C$1:$C$16,2),"2",IF(ABS(K15-21)=SMALL(RECHNEN!$C$1:$C$16,3),"3",IF(ABS(K15-21)=SMALL(RECHNEN!$C$1:$C$16,4),"4",IF(ABS(K15-21)=SMALL(RECHNEN!$C$1:$C$16,5),"5",IF(ABS(K15-21)=SMALL(RECHNEN!$C$1:$C$16,6),"6",IF(ABS(K15-21)=SMALL(RECHNEN!$C$1:$C$16,7),"7",IF(ABS(K15-21)=SMALL(RECHNEN!$C$1:$C$16,8),"8",IF(ABS(K15-21)=SMALL(RECHNEN!$C$1:$C$16,9),"9",IF(ABS(K15-21)=SMALL(RECHNEN!$C$1:$C$16,10),"10",IF(ABS(K15-21)=SMALL(RECHNEN!$C$1:$C$16,11),"11",IF(ABS(K15-21)=SMALL(RECHNEN!$C$1:$C$16,12),"12","13")))))))))))))))</f>
        <v/>
      </c>
    </row>
    <row r="16" spans="1:12" ht="18" x14ac:dyDescent="0.25">
      <c r="A16" s="2"/>
      <c r="B16" s="4"/>
      <c r="C16" s="4"/>
      <c r="D16" s="4"/>
      <c r="E16" s="4"/>
      <c r="F16" s="4"/>
      <c r="G16" s="4"/>
      <c r="H16" s="4"/>
      <c r="I16" s="4">
        <f t="shared" si="0"/>
        <v>0</v>
      </c>
      <c r="J16" s="4"/>
      <c r="K16" s="4">
        <f t="shared" si="2"/>
        <v>0</v>
      </c>
      <c r="L16" s="8" t="str">
        <f>IF(AND(K16=0,J16=0),"",IF(K16&gt;21,"TOT",IF(K16=21,"1",IF(ABS(K16-21)=SMALL(RECHNEN!$C$1:$C$16,1),"1",IF(ABS(K16-21)=SMALL(RECHNEN!$C$1:$C$16,2),"2",IF(ABS(K16-21)=SMALL(RECHNEN!$C$1:$C$16,3),"3",IF(ABS(K16-21)=SMALL(RECHNEN!$C$1:$C$16,4),"4",IF(ABS(K16-21)=SMALL(RECHNEN!$C$1:$C$16,5),"5",IF(ABS(K16-21)=SMALL(RECHNEN!$C$1:$C$16,6),"6",IF(ABS(K16-21)=SMALL(RECHNEN!$C$1:$C$16,7),"7",IF(ABS(K16-21)=SMALL(RECHNEN!$C$1:$C$16,8),"8",IF(ABS(K16-21)=SMALL(RECHNEN!$C$1:$C$16,9),"9",IF(ABS(K16-21)=SMALL(RECHNEN!$C$1:$C$16,10),"10",IF(ABS(K16-21)=SMALL(RECHNEN!$C$1:$C$16,11),"11",IF(ABS(K16-21)=SMALL(RECHNEN!$C$1:$C$16,12),"12","13")))))))))))))))</f>
        <v/>
      </c>
    </row>
    <row r="17" spans="1:12" ht="18" x14ac:dyDescent="0.25">
      <c r="A17" s="2"/>
      <c r="B17" s="4"/>
      <c r="C17" s="4"/>
      <c r="D17" s="4"/>
      <c r="E17" s="4"/>
      <c r="F17" s="4"/>
      <c r="G17" s="4"/>
      <c r="H17" s="4"/>
      <c r="I17" s="4">
        <f t="shared" si="0"/>
        <v>0</v>
      </c>
      <c r="J17" s="4"/>
      <c r="K17" s="4">
        <f t="shared" si="2"/>
        <v>0</v>
      </c>
      <c r="L17" s="8" t="str">
        <f>IF(AND(K17=0,J17=0),"",IF(K17&gt;21,"TOT",IF(K17=21,"1",IF(ABS(K17-21)=SMALL(RECHNEN!$C$1:$C$16,1),"1",IF(ABS(K17-21)=SMALL(RECHNEN!$C$1:$C$16,2),"2",IF(ABS(K17-21)=SMALL(RECHNEN!$C$1:$C$16,3),"3",IF(ABS(K17-21)=SMALL(RECHNEN!$C$1:$C$16,4),"4",IF(ABS(K17-21)=SMALL(RECHNEN!$C$1:$C$16,5),"5",IF(ABS(K17-21)=SMALL(RECHNEN!$C$1:$C$16,6),"6",IF(ABS(K17-21)=SMALL(RECHNEN!$C$1:$C$16,7),"7",IF(ABS(K17-21)=SMALL(RECHNEN!$C$1:$C$16,8),"8",IF(ABS(K17-21)=SMALL(RECHNEN!$C$1:$C$16,9),"9",IF(ABS(K17-21)=SMALL(RECHNEN!$C$1:$C$16,10),"10",IF(ABS(K17-21)=SMALL(RECHNEN!$C$1:$C$16,11),"11",IF(ABS(K17-21)=SMALL(RECHNEN!$C$1:$C$16,12),"12","13")))))))))))))))</f>
        <v/>
      </c>
    </row>
    <row r="18" spans="1:12" ht="18" x14ac:dyDescent="0.25">
      <c r="A18" s="2"/>
      <c r="B18" s="4"/>
      <c r="C18" s="4"/>
      <c r="D18" s="4"/>
      <c r="E18" s="4"/>
      <c r="F18" s="4"/>
      <c r="G18" s="4"/>
      <c r="H18" s="4"/>
      <c r="I18" s="4">
        <f t="shared" si="0"/>
        <v>0</v>
      </c>
      <c r="J18" s="4"/>
      <c r="K18" s="4">
        <f t="shared" si="2"/>
        <v>0</v>
      </c>
      <c r="L18" s="8" t="str">
        <f>IF(AND(K18=0,J18=0),"",IF(K18&gt;21,"TOT",IF(K18=21,"1",IF(ABS(K18-21)=SMALL(RECHNEN!$C$1:$C$16,1),"1",IF(ABS(K18-21)=SMALL(RECHNEN!$C$1:$C$16,2),"2",IF(ABS(K18-21)=SMALL(RECHNEN!$C$1:$C$16,3),"3",IF(ABS(K18-21)=SMALL(RECHNEN!$C$1:$C$16,4),"4",IF(ABS(K18-21)=SMALL(RECHNEN!$C$1:$C$16,5),"5",IF(ABS(K18-21)=SMALL(RECHNEN!$C$1:$C$16,6),"6",IF(ABS(K18-21)=SMALL(RECHNEN!$C$1:$C$16,7),"7",IF(ABS(K18-21)=SMALL(RECHNEN!$C$1:$C$16,8),"8",IF(ABS(K18-21)=SMALL(RECHNEN!$C$1:$C$16,9),"9",IF(ABS(K18-21)=SMALL(RECHNEN!$C$1:$C$16,10),"10",IF(ABS(K18-21)=SMALL(RECHNEN!$C$1:$C$16,11),"11",IF(ABS(K18-21)=SMALL(RECHNEN!$C$1:$C$16,12),"12","13")))))))))))))))</f>
        <v/>
      </c>
    </row>
  </sheetData>
  <mergeCells count="1">
    <mergeCell ref="A1:H1"/>
  </mergeCells>
  <conditionalFormatting sqref="A4:A9 A11:A1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{DAB9FC9E-C534-4499-AF34-8E02E547EA6B}</x14:id>
        </ext>
      </extLst>
    </cfRule>
  </conditionalFormatting>
  <conditionalFormatting sqref="A4:A12 A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{E75DB7C8-D807-45B5-8FDE-91E3F9006338}</x14:id>
        </ext>
      </extLst>
    </cfRule>
  </conditionalFormatting>
  <conditionalFormatting sqref="A1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{3E79E833-2AC2-4DEC-B48F-5540BCB726AC}</x14:id>
        </ext>
      </extLst>
    </cfRule>
  </conditionalFormatting>
  <conditionalFormatting sqref="A14:A1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{48CD59F0-CB9D-4989-B2F7-2D2AC8DA1980}</x14:id>
        </ext>
      </extLst>
    </cfRule>
  </conditionalFormatting>
  <conditionalFormatting sqref="L2:L18">
    <cfRule type="containsText" dxfId="3" priority="18" operator="containsText" text="1"/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B9FC9E-C534-4499-AF34-8E02E547EA6B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A4:A9 A11:A12</xm:sqref>
        </x14:conditionalFormatting>
        <x14:conditionalFormatting xmlns:xm="http://schemas.microsoft.com/office/excel/2006/main">
          <x14:cfRule type="dataBar" id="{E75DB7C8-D807-45B5-8FDE-91E3F9006338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A4:A12 A2</xm:sqref>
        </x14:conditionalFormatting>
        <x14:conditionalFormatting xmlns:xm="http://schemas.microsoft.com/office/excel/2006/main">
          <x14:cfRule type="dataBar" id="{3E79E833-2AC2-4DEC-B48F-5540BCB726AC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A14</xm:sqref>
        </x14:conditionalFormatting>
        <x14:conditionalFormatting xmlns:xm="http://schemas.microsoft.com/office/excel/2006/main">
          <x14:cfRule type="dataBar" id="{48CD59F0-CB9D-4989-B2F7-2D2AC8DA1980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A14:A18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showGridLines="0" zoomScaleNormal="100" workbookViewId="0">
      <selection activeCell="A2" sqref="A2:A15"/>
    </sheetView>
  </sheetViews>
  <sheetFormatPr baseColWidth="10" defaultColWidth="8.7109375" defaultRowHeight="15" x14ac:dyDescent="0.25"/>
  <cols>
    <col min="1" max="1" width="15.140625" customWidth="1"/>
    <col min="2" max="2" width="6.140625" customWidth="1"/>
    <col min="3" max="3" width="13.42578125" customWidth="1"/>
    <col min="4" max="13" width="4" customWidth="1"/>
    <col min="14" max="1025" width="8.28515625" customWidth="1"/>
  </cols>
  <sheetData>
    <row r="1" spans="1:15" ht="18" x14ac:dyDescent="0.25">
      <c r="A1" s="74" t="s">
        <v>15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19.5" x14ac:dyDescent="0.25">
      <c r="A2" s="2" t="s">
        <v>7</v>
      </c>
      <c r="B2" s="9" t="s">
        <v>16</v>
      </c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5">
        <f t="shared" ref="N2:N13" si="0">SUM(D2:M2)</f>
        <v>0</v>
      </c>
      <c r="O2" s="10" t="s">
        <v>104</v>
      </c>
    </row>
    <row r="3" spans="1:15" ht="19.5" x14ac:dyDescent="0.25">
      <c r="A3" s="2" t="s">
        <v>6</v>
      </c>
      <c r="B3" s="9" t="s">
        <v>16</v>
      </c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5">
        <f t="shared" si="0"/>
        <v>0</v>
      </c>
      <c r="O3" s="10" t="s">
        <v>104</v>
      </c>
    </row>
    <row r="4" spans="1:15" ht="19.5" x14ac:dyDescent="0.25">
      <c r="A4" s="2" t="s">
        <v>17</v>
      </c>
      <c r="B4" s="9" t="s">
        <v>16</v>
      </c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5">
        <f t="shared" si="0"/>
        <v>0</v>
      </c>
      <c r="O4" s="10" t="s">
        <v>104</v>
      </c>
    </row>
    <row r="5" spans="1:15" ht="19.5" x14ac:dyDescent="0.25">
      <c r="A5" s="2" t="s">
        <v>9</v>
      </c>
      <c r="B5" s="9" t="s">
        <v>16</v>
      </c>
      <c r="C5" s="2"/>
      <c r="D5" s="4"/>
      <c r="E5" s="4"/>
      <c r="F5" s="4"/>
      <c r="G5" s="4"/>
      <c r="H5" s="4"/>
      <c r="I5" s="4"/>
      <c r="J5" s="4"/>
      <c r="K5" s="4"/>
      <c r="L5" s="4"/>
      <c r="M5" s="4"/>
      <c r="N5" s="5">
        <f t="shared" si="0"/>
        <v>0</v>
      </c>
      <c r="O5" s="10" t="s">
        <v>104</v>
      </c>
    </row>
    <row r="6" spans="1:15" ht="19.5" x14ac:dyDescent="0.25">
      <c r="A6" s="2" t="s">
        <v>105</v>
      </c>
      <c r="B6" s="9" t="s">
        <v>16</v>
      </c>
      <c r="C6" s="2"/>
      <c r="D6" s="4"/>
      <c r="E6" s="4"/>
      <c r="F6" s="4"/>
      <c r="G6" s="4"/>
      <c r="H6" s="4"/>
      <c r="I6" s="4"/>
      <c r="J6" s="4"/>
      <c r="K6" s="4"/>
      <c r="L6" s="4"/>
      <c r="M6" s="4"/>
      <c r="N6" s="5">
        <f t="shared" si="0"/>
        <v>0</v>
      </c>
      <c r="O6" s="10" t="s">
        <v>104</v>
      </c>
    </row>
    <row r="7" spans="1:15" ht="19.5" x14ac:dyDescent="0.25">
      <c r="A7" s="2" t="s">
        <v>106</v>
      </c>
      <c r="B7" s="9" t="s">
        <v>16</v>
      </c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5">
        <f t="shared" si="0"/>
        <v>0</v>
      </c>
      <c r="O7" s="10" t="s">
        <v>104</v>
      </c>
    </row>
    <row r="8" spans="1:15" ht="19.5" x14ac:dyDescent="0.25">
      <c r="A8" s="2" t="s">
        <v>8</v>
      </c>
      <c r="B8" s="9" t="s">
        <v>16</v>
      </c>
      <c r="C8" s="2"/>
      <c r="D8" s="4"/>
      <c r="E8" s="4"/>
      <c r="F8" s="4"/>
      <c r="G8" s="4"/>
      <c r="H8" s="4"/>
      <c r="I8" s="4"/>
      <c r="J8" s="4"/>
      <c r="K8" s="4"/>
      <c r="L8" s="4"/>
      <c r="M8" s="4"/>
      <c r="N8" s="5">
        <f t="shared" si="0"/>
        <v>0</v>
      </c>
      <c r="O8" s="10" t="s">
        <v>104</v>
      </c>
    </row>
    <row r="9" spans="1:15" ht="19.5" x14ac:dyDescent="0.25">
      <c r="A9" s="2" t="s">
        <v>102</v>
      </c>
      <c r="B9" s="9" t="s">
        <v>16</v>
      </c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5">
        <f t="shared" si="0"/>
        <v>0</v>
      </c>
      <c r="O9" s="10" t="s">
        <v>104</v>
      </c>
    </row>
    <row r="10" spans="1:15" ht="19.5" x14ac:dyDescent="0.25">
      <c r="A10" s="2" t="s">
        <v>103</v>
      </c>
      <c r="B10" s="9" t="s">
        <v>16</v>
      </c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  <c r="N10" s="5">
        <f t="shared" si="0"/>
        <v>0</v>
      </c>
      <c r="O10" s="10" t="s">
        <v>104</v>
      </c>
    </row>
    <row r="11" spans="1:15" ht="19.5" x14ac:dyDescent="0.25">
      <c r="A11" s="2" t="s">
        <v>65</v>
      </c>
      <c r="B11" s="9" t="s">
        <v>16</v>
      </c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5">
        <f t="shared" si="0"/>
        <v>0</v>
      </c>
      <c r="O11" s="10"/>
    </row>
    <row r="12" spans="1:15" ht="19.5" x14ac:dyDescent="0.25">
      <c r="A12" s="2" t="s">
        <v>5</v>
      </c>
      <c r="B12" s="9" t="s">
        <v>16</v>
      </c>
      <c r="C12" s="2"/>
      <c r="D12" s="4"/>
      <c r="E12" s="4"/>
      <c r="F12" s="4"/>
      <c r="G12" s="4"/>
      <c r="H12" s="4"/>
      <c r="I12" s="4"/>
      <c r="J12" s="4"/>
      <c r="K12" s="4"/>
      <c r="L12" s="4"/>
      <c r="M12" s="4"/>
      <c r="N12" s="5">
        <f t="shared" si="0"/>
        <v>0</v>
      </c>
      <c r="O12" s="10"/>
    </row>
    <row r="13" spans="1:15" ht="19.5" x14ac:dyDescent="0.25">
      <c r="A13" s="2"/>
      <c r="B13" s="9" t="s">
        <v>16</v>
      </c>
      <c r="C13" s="4" t="s">
        <v>18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5">
        <f t="shared" si="0"/>
        <v>0</v>
      </c>
      <c r="O13" s="10"/>
    </row>
    <row r="14" spans="1:15" s="6" customFormat="1" ht="18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4"/>
    </row>
    <row r="15" spans="1:15" ht="18" x14ac:dyDescent="0.25">
      <c r="A15" s="2"/>
      <c r="B15" s="4"/>
      <c r="C15" s="4" t="s">
        <v>19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5">
        <f>SUM(D15:M15)</f>
        <v>0</v>
      </c>
      <c r="O15" s="4"/>
    </row>
  </sheetData>
  <mergeCells count="1">
    <mergeCell ref="A1:O1"/>
  </mergeCells>
  <conditionalFormatting sqref="A4:A9 A1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{B05BD04D-ABEA-4515-98CF-1049D1A39E9A}</x14:id>
        </ext>
      </extLst>
    </cfRule>
  </conditionalFormatting>
  <conditionalFormatting sqref="A4:A12 A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{33CA4FC2-0F0C-4BA1-998C-2FD0D5B827D0}</x14:id>
        </ext>
      </extLst>
    </cfRule>
  </conditionalFormatting>
  <conditionalFormatting sqref="C3:C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{43704E78-DFE9-4997-8289-A62012192BEA}</x14:id>
        </ext>
      </extLst>
    </cfRule>
  </conditionalFormatting>
  <conditionalFormatting sqref="C3:C1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{307B6D10-61C0-42F4-A425-2B9552D6DDE2}</x14:id>
        </ext>
      </extLst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5BD04D-ABEA-4515-98CF-1049D1A39E9A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A4:A9 A11:A12</xm:sqref>
        </x14:conditionalFormatting>
        <x14:conditionalFormatting xmlns:xm="http://schemas.microsoft.com/office/excel/2006/main">
          <x14:cfRule type="dataBar" id="{33CA4FC2-0F0C-4BA1-998C-2FD0D5B827D0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A4:A12 A2</xm:sqref>
        </x14:conditionalFormatting>
        <x14:conditionalFormatting xmlns:xm="http://schemas.microsoft.com/office/excel/2006/main">
          <x14:cfRule type="dataBar" id="{43704E78-DFE9-4997-8289-A62012192BEA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C3:C8</xm:sqref>
        </x14:conditionalFormatting>
        <x14:conditionalFormatting xmlns:xm="http://schemas.microsoft.com/office/excel/2006/main">
          <x14:cfRule type="dataBar" id="{307B6D10-61C0-42F4-A425-2B9552D6DDE2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C3:C12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"/>
  <sheetViews>
    <sheetView showGridLines="0" zoomScaleNormal="100" workbookViewId="0">
      <selection activeCell="C4" sqref="C4"/>
    </sheetView>
  </sheetViews>
  <sheetFormatPr baseColWidth="10" defaultColWidth="8.7109375" defaultRowHeight="15" x14ac:dyDescent="0.25"/>
  <cols>
    <col min="1" max="1" width="12.5703125" customWidth="1"/>
    <col min="2" max="3" width="6.140625" customWidth="1"/>
    <col min="4" max="5" width="7.7109375" customWidth="1"/>
    <col min="6" max="6" width="6.140625" customWidth="1"/>
    <col min="7" max="8" width="7.7109375" customWidth="1"/>
    <col min="9" max="9" width="6.140625" customWidth="1"/>
    <col min="10" max="11" width="7.7109375" customWidth="1"/>
    <col min="12" max="12" width="6.140625" customWidth="1"/>
    <col min="13" max="14" width="7.7109375" customWidth="1"/>
    <col min="15" max="15" width="6.140625" customWidth="1"/>
    <col min="16" max="17" width="7.7109375" customWidth="1"/>
    <col min="18" max="18" width="6.140625" style="11" customWidth="1"/>
    <col min="19" max="1025" width="8.28515625" customWidth="1"/>
  </cols>
  <sheetData>
    <row r="1" spans="1:18" s="12" customFormat="1" ht="30" customHeight="1" x14ac:dyDescent="0.25">
      <c r="A1" s="79" t="s">
        <v>20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8" ht="30" customHeight="1" x14ac:dyDescent="0.25">
      <c r="A2" s="13" t="s">
        <v>1</v>
      </c>
      <c r="B2" s="13" t="s">
        <v>21</v>
      </c>
      <c r="C2" s="13" t="s">
        <v>22</v>
      </c>
      <c r="D2" s="13" t="s">
        <v>23</v>
      </c>
      <c r="E2" s="14" t="s">
        <v>24</v>
      </c>
      <c r="F2" s="13" t="s">
        <v>25</v>
      </c>
      <c r="G2" s="13" t="s">
        <v>26</v>
      </c>
      <c r="H2" s="14" t="s">
        <v>24</v>
      </c>
      <c r="I2" s="13" t="s">
        <v>27</v>
      </c>
      <c r="J2" s="13" t="s">
        <v>28</v>
      </c>
      <c r="K2" s="14" t="s">
        <v>24</v>
      </c>
      <c r="L2" s="13" t="s">
        <v>29</v>
      </c>
      <c r="M2" s="13" t="s">
        <v>30</v>
      </c>
      <c r="N2" s="14" t="s">
        <v>24</v>
      </c>
      <c r="O2" s="13" t="s">
        <v>31</v>
      </c>
      <c r="P2" s="13" t="s">
        <v>32</v>
      </c>
      <c r="Q2" s="15" t="s">
        <v>33</v>
      </c>
      <c r="R2" s="16" t="s">
        <v>3</v>
      </c>
    </row>
    <row r="3" spans="1:18" ht="30" customHeight="1" x14ac:dyDescent="0.25">
      <c r="A3" s="17" t="s">
        <v>7</v>
      </c>
      <c r="B3" s="18"/>
      <c r="C3" s="18"/>
      <c r="D3" s="23">
        <f>C3*2</f>
        <v>0</v>
      </c>
      <c r="E3" s="18">
        <f>D3+B3</f>
        <v>0</v>
      </c>
      <c r="F3" s="18"/>
      <c r="G3" s="18">
        <f>F3*3</f>
        <v>0</v>
      </c>
      <c r="H3" s="18">
        <f>G3+E3</f>
        <v>0</v>
      </c>
      <c r="I3" s="18"/>
      <c r="J3" s="18">
        <f>I3*4</f>
        <v>0</v>
      </c>
      <c r="K3" s="18">
        <f>J3+H3</f>
        <v>0</v>
      </c>
      <c r="L3" s="18"/>
      <c r="M3" s="18">
        <f>L3*5</f>
        <v>0</v>
      </c>
      <c r="N3" s="18">
        <f>M3+K3</f>
        <v>0</v>
      </c>
      <c r="O3" s="18"/>
      <c r="P3" s="18">
        <f>O3*6</f>
        <v>0</v>
      </c>
      <c r="Q3" s="18">
        <f>P3+N3</f>
        <v>0</v>
      </c>
      <c r="R3" s="19" t="str">
        <f>IF(Q3=0,"",IF(Q3=LARGE($Q$3:$Q$16,1),"1",IF(Q3=LARGE($Q$3:$Q$16,2),"2",IF(Q3=LARGE($Q$3:$Q$16,3),"3",IF(Q3=LARGE($Q$3:$Q$16,4),"4",IF(Q3=LARGE($Q$3:$Q$16,5),"5",IF(Q3=LARGE($Q$3:$Q$16,6),"6","7")))))))</f>
        <v/>
      </c>
    </row>
    <row r="4" spans="1:18" ht="30" customHeight="1" x14ac:dyDescent="0.25">
      <c r="A4" s="20" t="s">
        <v>6</v>
      </c>
      <c r="B4" s="21"/>
      <c r="C4" s="21"/>
      <c r="D4" s="23">
        <f t="shared" ref="D4:D10" si="0">C4*2</f>
        <v>0</v>
      </c>
      <c r="E4" s="18">
        <f t="shared" ref="E4:E10" si="1">D4+B4</f>
        <v>0</v>
      </c>
      <c r="F4" s="21"/>
      <c r="G4" s="18">
        <f t="shared" ref="G4:G10" si="2">F4*3</f>
        <v>0</v>
      </c>
      <c r="H4" s="18">
        <f t="shared" ref="H4:H10" si="3">G4+E4</f>
        <v>0</v>
      </c>
      <c r="I4" s="21"/>
      <c r="J4" s="18">
        <f t="shared" ref="J4:J10" si="4">I4*4</f>
        <v>0</v>
      </c>
      <c r="K4" s="18">
        <f t="shared" ref="K4:K10" si="5">J4+H4</f>
        <v>0</v>
      </c>
      <c r="L4" s="21"/>
      <c r="M4" s="18">
        <f t="shared" ref="M4:M10" si="6">L4*5</f>
        <v>0</v>
      </c>
      <c r="N4" s="18">
        <f t="shared" ref="N4:N10" si="7">M4+K4</f>
        <v>0</v>
      </c>
      <c r="O4" s="21"/>
      <c r="P4" s="18">
        <f t="shared" ref="P4:P10" si="8">O4*6</f>
        <v>0</v>
      </c>
      <c r="Q4" s="18">
        <f t="shared" ref="Q4:Q10" si="9">P4+N4</f>
        <v>0</v>
      </c>
      <c r="R4" s="19" t="str">
        <f>R3</f>
        <v/>
      </c>
    </row>
    <row r="5" spans="1:18" ht="30" customHeight="1" x14ac:dyDescent="0.25">
      <c r="A5" s="22" t="s">
        <v>17</v>
      </c>
      <c r="B5" s="23"/>
      <c r="C5" s="23"/>
      <c r="D5" s="23">
        <f t="shared" si="0"/>
        <v>0</v>
      </c>
      <c r="E5" s="18">
        <f t="shared" si="1"/>
        <v>0</v>
      </c>
      <c r="F5" s="23"/>
      <c r="G5" s="18">
        <f t="shared" si="2"/>
        <v>0</v>
      </c>
      <c r="H5" s="18">
        <f t="shared" si="3"/>
        <v>0</v>
      </c>
      <c r="I5" s="23"/>
      <c r="J5" s="18">
        <f t="shared" si="4"/>
        <v>0</v>
      </c>
      <c r="K5" s="18">
        <f t="shared" si="5"/>
        <v>0</v>
      </c>
      <c r="L5" s="23"/>
      <c r="M5" s="18">
        <f t="shared" si="6"/>
        <v>0</v>
      </c>
      <c r="N5" s="18">
        <f t="shared" si="7"/>
        <v>0</v>
      </c>
      <c r="O5" s="23"/>
      <c r="P5" s="18">
        <f t="shared" si="8"/>
        <v>0</v>
      </c>
      <c r="Q5" s="18">
        <f t="shared" si="9"/>
        <v>0</v>
      </c>
      <c r="R5" s="19" t="str">
        <f>IF(Q5=0,"",IF(Q5=LARGE($Q$3:$Q$16,1),"1",IF(Q5=LARGE($Q$3:$Q$16,2),"2",IF(Q5=LARGE($Q$3:$Q$16,3),"3",IF(Q5=LARGE($Q$3:$Q$16,4),"4",IF(Q5=LARGE($Q$3:$Q$16,5),"5",IF(Q5=LARGE($Q$3:$Q$16,6),"6","7")))))))</f>
        <v/>
      </c>
    </row>
    <row r="6" spans="1:18" ht="30" customHeight="1" x14ac:dyDescent="0.25">
      <c r="A6" s="24" t="s">
        <v>9</v>
      </c>
      <c r="B6" s="25"/>
      <c r="C6" s="25"/>
      <c r="D6" s="23">
        <f t="shared" si="0"/>
        <v>0</v>
      </c>
      <c r="E6" s="18">
        <f t="shared" si="1"/>
        <v>0</v>
      </c>
      <c r="F6" s="25"/>
      <c r="G6" s="18">
        <f t="shared" si="2"/>
        <v>0</v>
      </c>
      <c r="H6" s="18">
        <f t="shared" si="3"/>
        <v>0</v>
      </c>
      <c r="I6" s="25"/>
      <c r="J6" s="18">
        <f t="shared" si="4"/>
        <v>0</v>
      </c>
      <c r="K6" s="18">
        <f t="shared" si="5"/>
        <v>0</v>
      </c>
      <c r="L6" s="25"/>
      <c r="M6" s="18">
        <f t="shared" si="6"/>
        <v>0</v>
      </c>
      <c r="N6" s="18">
        <f t="shared" si="7"/>
        <v>0</v>
      </c>
      <c r="O6" s="25"/>
      <c r="P6" s="18">
        <f t="shared" si="8"/>
        <v>0</v>
      </c>
      <c r="Q6" s="18">
        <f t="shared" si="9"/>
        <v>0</v>
      </c>
      <c r="R6" s="19" t="str">
        <f>R5</f>
        <v/>
      </c>
    </row>
    <row r="7" spans="1:18" ht="30" customHeight="1" x14ac:dyDescent="0.25">
      <c r="A7" s="26" t="s">
        <v>105</v>
      </c>
      <c r="B7" s="27"/>
      <c r="C7" s="27"/>
      <c r="D7" s="23">
        <f t="shared" si="0"/>
        <v>0</v>
      </c>
      <c r="E7" s="18">
        <f t="shared" si="1"/>
        <v>0</v>
      </c>
      <c r="F7" s="27"/>
      <c r="G7" s="18">
        <f t="shared" si="2"/>
        <v>0</v>
      </c>
      <c r="H7" s="18">
        <f t="shared" si="3"/>
        <v>0</v>
      </c>
      <c r="I7" s="27"/>
      <c r="J7" s="18">
        <f t="shared" si="4"/>
        <v>0</v>
      </c>
      <c r="K7" s="18">
        <f t="shared" si="5"/>
        <v>0</v>
      </c>
      <c r="L7" s="27"/>
      <c r="M7" s="18">
        <f t="shared" si="6"/>
        <v>0</v>
      </c>
      <c r="N7" s="18">
        <f t="shared" si="7"/>
        <v>0</v>
      </c>
      <c r="O7" s="27"/>
      <c r="P7" s="18">
        <f t="shared" si="8"/>
        <v>0</v>
      </c>
      <c r="Q7" s="18">
        <f t="shared" si="9"/>
        <v>0</v>
      </c>
      <c r="R7" s="19" t="str">
        <f>IF(Q7=0,"",IF(Q7=LARGE($Q$3:$Q$16,1),"1",IF(Q7=LARGE($Q$3:$Q$16,2),"2",IF(Q7=LARGE($Q$3:$Q$16,3),"3",IF(Q7=LARGE($Q$3:$Q$16,4),"4",IF(Q7=LARGE($Q$3:$Q$16,5),"5",IF(Q7=LARGE($Q$3:$Q$16,6),"6","7")))))))</f>
        <v/>
      </c>
    </row>
    <row r="8" spans="1:18" ht="30" customHeight="1" x14ac:dyDescent="0.25">
      <c r="A8" s="26" t="s">
        <v>106</v>
      </c>
      <c r="B8" s="27"/>
      <c r="C8" s="27"/>
      <c r="D8" s="23">
        <f t="shared" si="0"/>
        <v>0</v>
      </c>
      <c r="E8" s="18">
        <f t="shared" si="1"/>
        <v>0</v>
      </c>
      <c r="F8" s="27"/>
      <c r="G8" s="18">
        <f t="shared" si="2"/>
        <v>0</v>
      </c>
      <c r="H8" s="18">
        <f t="shared" si="3"/>
        <v>0</v>
      </c>
      <c r="I8" s="27"/>
      <c r="J8" s="18">
        <f t="shared" si="4"/>
        <v>0</v>
      </c>
      <c r="K8" s="18">
        <f t="shared" si="5"/>
        <v>0</v>
      </c>
      <c r="L8" s="27"/>
      <c r="M8" s="18">
        <f t="shared" si="6"/>
        <v>0</v>
      </c>
      <c r="N8" s="18">
        <f t="shared" si="7"/>
        <v>0</v>
      </c>
      <c r="O8" s="27"/>
      <c r="P8" s="18">
        <f t="shared" si="8"/>
        <v>0</v>
      </c>
      <c r="Q8" s="18">
        <f t="shared" si="9"/>
        <v>0</v>
      </c>
      <c r="R8" s="19" t="str">
        <f>R7</f>
        <v/>
      </c>
    </row>
    <row r="9" spans="1:18" ht="22.35" customHeight="1" x14ac:dyDescent="0.25">
      <c r="A9" s="29" t="s">
        <v>8</v>
      </c>
      <c r="B9" s="30"/>
      <c r="C9" s="30"/>
      <c r="D9" s="23">
        <f t="shared" si="0"/>
        <v>0</v>
      </c>
      <c r="E9" s="18">
        <f t="shared" si="1"/>
        <v>0</v>
      </c>
      <c r="F9" s="30"/>
      <c r="G9" s="18">
        <f t="shared" si="2"/>
        <v>0</v>
      </c>
      <c r="H9" s="18">
        <f t="shared" si="3"/>
        <v>0</v>
      </c>
      <c r="I9" s="30"/>
      <c r="J9" s="18">
        <f t="shared" si="4"/>
        <v>0</v>
      </c>
      <c r="K9" s="18">
        <f t="shared" si="5"/>
        <v>0</v>
      </c>
      <c r="L9" s="30"/>
      <c r="M9" s="18">
        <f t="shared" si="6"/>
        <v>0</v>
      </c>
      <c r="N9" s="18">
        <f t="shared" si="7"/>
        <v>0</v>
      </c>
      <c r="O9" s="30"/>
      <c r="P9" s="18">
        <f t="shared" si="8"/>
        <v>0</v>
      </c>
      <c r="Q9" s="18">
        <f t="shared" si="9"/>
        <v>0</v>
      </c>
      <c r="R9" s="19" t="str">
        <f>IF(Q9=0,"",IF(Q9=LARGE($Q$3:$Q$16,1),"1",IF(Q9=LARGE($Q$3:$Q$16,2),"2",IF(Q9=LARGE($Q$3:$Q$16,3),"3",IF(Q9=LARGE($Q$3:$Q$16,4),"4",IF(Q9=LARGE($Q$3:$Q$16,5),"5",IF(Q9=LARGE($Q$3:$Q$16,6),"6","7")))))))</f>
        <v/>
      </c>
    </row>
    <row r="10" spans="1:18" ht="25.15" customHeight="1" x14ac:dyDescent="0.25">
      <c r="A10" s="29" t="s">
        <v>102</v>
      </c>
      <c r="B10" s="30"/>
      <c r="C10" s="30"/>
      <c r="D10" s="23">
        <f t="shared" si="0"/>
        <v>0</v>
      </c>
      <c r="E10" s="18">
        <f t="shared" si="1"/>
        <v>0</v>
      </c>
      <c r="F10" s="30"/>
      <c r="G10" s="18">
        <f t="shared" si="2"/>
        <v>0</v>
      </c>
      <c r="H10" s="18">
        <f t="shared" si="3"/>
        <v>0</v>
      </c>
      <c r="I10" s="30"/>
      <c r="J10" s="18">
        <f t="shared" si="4"/>
        <v>0</v>
      </c>
      <c r="K10" s="18">
        <f t="shared" si="5"/>
        <v>0</v>
      </c>
      <c r="L10" s="30"/>
      <c r="M10" s="18">
        <f t="shared" si="6"/>
        <v>0</v>
      </c>
      <c r="N10" s="18">
        <f t="shared" si="7"/>
        <v>0</v>
      </c>
      <c r="O10" s="30"/>
      <c r="P10" s="18">
        <f t="shared" si="8"/>
        <v>0</v>
      </c>
      <c r="Q10" s="18">
        <f t="shared" si="9"/>
        <v>0</v>
      </c>
      <c r="R10" s="19" t="str">
        <f>R9</f>
        <v/>
      </c>
    </row>
    <row r="11" spans="1:18" ht="27" customHeight="1" x14ac:dyDescent="0.25">
      <c r="A11" s="26" t="s">
        <v>103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19" t="str">
        <f>IF(Q11=0,"",IF(Q11=LARGE($Q$3:$Q$16,1),"1",IF(Q11=LARGE($Q$3:$Q$16,2),"2",IF(Q11=LARGE($Q$3:$Q$16,3),"3",IF(Q11=LARGE($Q$3:$Q$16,4),"4",IF(Q11=LARGE($Q$3:$Q$16,5),"5",IF(Q11=LARGE($Q$3:$Q$16,6),"6","7")))))))</f>
        <v/>
      </c>
    </row>
    <row r="12" spans="1:18" ht="18" x14ac:dyDescent="0.25">
      <c r="A12" s="26" t="s">
        <v>65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19" t="str">
        <f>R11</f>
        <v/>
      </c>
    </row>
    <row r="13" spans="1:18" ht="18" x14ac:dyDescent="0.25">
      <c r="A13" s="29" t="s">
        <v>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1"/>
      <c r="R13" s="19" t="str">
        <f>IF(Q13=0,"",IF(Q13=LARGE($Q$3:$Q$16,1),"1",IF(Q13=LARGE($Q$3:$Q$16,2),"2",IF(Q13=LARGE($Q$3:$Q$16,3),"3",IF(Q13=LARGE($Q$3:$Q$16,4),"4",IF(Q13=LARGE($Q$3:$Q$16,5),"5",IF(Q13=LARGE($Q$3:$Q$16,6),"6","7")))))))</f>
        <v/>
      </c>
    </row>
    <row r="14" spans="1:18" ht="18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9" t="str">
        <f>R13</f>
        <v/>
      </c>
    </row>
    <row r="15" spans="1:18" ht="18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19" t="str">
        <f>IF(Q15=0,"",IF(Q15=LARGE($Q$3:$Q$16,1),"1",IF(Q15=LARGE($Q$3:$Q$16,2),"2",IF(Q15=LARGE($Q$3:$Q$16,3),"3",IF(Q15=LARGE($Q$3:$Q$16,4),"4",IF(Q15=LARGE($Q$3:$Q$16,5),"5",IF(Q15=LARGE($Q$3:$Q$16,6),"6","7")))))))</f>
        <v/>
      </c>
    </row>
    <row r="16" spans="1:18" ht="18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19" t="str">
        <f>IF(Q16=0,"",IF(Q16=LARGE($Q$3:$Q$16,1),"1",IF(Q16=LARGE($Q$3:$Q$16,2),"2",IF(Q16=LARGE($Q$3:$Q$16,3),"3",IF(Q16=LARGE($Q$3:$Q$16,4),"4",IF(Q16=LARGE($Q$3:$Q$16,5),"5",IF(Q16=LARGE($Q$3:$Q$16,6),"6","7")))))))</f>
        <v/>
      </c>
    </row>
  </sheetData>
  <mergeCells count="1">
    <mergeCell ref="A1:R1"/>
  </mergeCells>
  <conditionalFormatting sqref="R2">
    <cfRule type="containsText" dxfId="2" priority="2" operator="containsText" text="1"/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"/>
  <sheetViews>
    <sheetView showGridLines="0" zoomScaleNormal="100" workbookViewId="0">
      <selection activeCell="Q11" sqref="Q11"/>
    </sheetView>
  </sheetViews>
  <sheetFormatPr baseColWidth="10" defaultColWidth="8.7109375" defaultRowHeight="15" x14ac:dyDescent="0.25"/>
  <cols>
    <col min="1" max="1" width="10.5703125" customWidth="1"/>
    <col min="2" max="2" width="1.140625" customWidth="1"/>
    <col min="3" max="3" width="8.28515625" customWidth="1"/>
    <col min="4" max="4" width="1.140625" customWidth="1"/>
    <col min="5" max="5" width="8.28515625" customWidth="1"/>
    <col min="6" max="6" width="1.140625" customWidth="1"/>
    <col min="7" max="7" width="8.28515625" customWidth="1"/>
    <col min="8" max="8" width="1.140625" customWidth="1"/>
    <col min="9" max="9" width="8.28515625" customWidth="1"/>
    <col min="10" max="10" width="1.140625" customWidth="1"/>
    <col min="11" max="11" width="8.28515625" customWidth="1"/>
    <col min="12" max="12" width="1.140625" customWidth="1"/>
    <col min="13" max="13" width="8.28515625" customWidth="1"/>
    <col min="14" max="14" width="1.140625" customWidth="1"/>
    <col min="15" max="15" width="11.85546875" customWidth="1"/>
    <col min="16" max="1025" width="8.28515625" customWidth="1"/>
  </cols>
  <sheetData>
    <row r="1" spans="1:16" ht="18" x14ac:dyDescent="0.25">
      <c r="A1" s="74" t="s">
        <v>34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6" ht="18" x14ac:dyDescent="0.25">
      <c r="A2" s="32" t="s">
        <v>35</v>
      </c>
      <c r="B2" s="32"/>
      <c r="C2" s="1" t="s">
        <v>36</v>
      </c>
      <c r="D2" s="32"/>
      <c r="E2" s="1" t="s">
        <v>36</v>
      </c>
      <c r="F2" s="32"/>
      <c r="G2" s="1" t="s">
        <v>36</v>
      </c>
      <c r="H2" s="32"/>
      <c r="I2" s="1" t="s">
        <v>36</v>
      </c>
      <c r="J2" s="32"/>
      <c r="K2" s="1" t="s">
        <v>36</v>
      </c>
      <c r="L2" s="32"/>
      <c r="M2" s="1" t="s">
        <v>36</v>
      </c>
      <c r="N2" s="32"/>
      <c r="O2" s="1" t="s">
        <v>37</v>
      </c>
      <c r="P2" t="s">
        <v>38</v>
      </c>
    </row>
    <row r="3" spans="1:16" ht="18" x14ac:dyDescent="0.25">
      <c r="A3" s="4" t="s">
        <v>1</v>
      </c>
      <c r="B3" s="4"/>
      <c r="C3" s="80">
        <f>IF(OR(COUNTIF(B3:B8,"5"),COUNTIF(B3:B8,"P")),0,SUM(B3:B8))</f>
        <v>0</v>
      </c>
      <c r="D3" s="4"/>
      <c r="E3" s="80">
        <f>IF(OR(COUNTIF(D3:D8,"5"),COUNTIF(D3:D8,"P")),0,SUM(D3:D8))</f>
        <v>0</v>
      </c>
      <c r="F3" s="4"/>
      <c r="G3" s="80">
        <f>IF(OR(COUNTIF(F3:F8,"5"),COUNTIF(F3:F8,"P")),0,SUM(F3:F8))</f>
        <v>0</v>
      </c>
      <c r="H3" s="4"/>
      <c r="I3" s="80">
        <f>IF(OR(COUNTIF(H3:H8,"5"),COUNTIF(H3:H8,"P")),0,SUM(H3:H8))</f>
        <v>0</v>
      </c>
      <c r="J3" s="4"/>
      <c r="K3" s="80">
        <f>IF(OR(COUNTIF(J3:J8,"5"),COUNTIF(J3:J8,"P")),0,SUM(J3:J8))</f>
        <v>0</v>
      </c>
      <c r="L3" s="4"/>
      <c r="M3" s="80">
        <f>IF(OR(COUNTIF(L3:L8,"5"),COUNTIF(L3:L8,"P")),0,SUM(L3:L8))</f>
        <v>0</v>
      </c>
      <c r="N3" s="4"/>
      <c r="O3" s="80">
        <f>SUM(C3,E3,G3,I3,K3,M3)</f>
        <v>0</v>
      </c>
    </row>
    <row r="4" spans="1:16" ht="18" x14ac:dyDescent="0.25">
      <c r="A4" s="4" t="s">
        <v>1</v>
      </c>
      <c r="B4" s="4"/>
      <c r="C4" s="80"/>
      <c r="D4" s="4"/>
      <c r="E4" s="80"/>
      <c r="F4" s="4"/>
      <c r="G4" s="80"/>
      <c r="H4" s="4"/>
      <c r="I4" s="80"/>
      <c r="J4" s="4"/>
      <c r="K4" s="80"/>
      <c r="L4" s="4"/>
      <c r="M4" s="80"/>
      <c r="N4" s="4"/>
      <c r="O4" s="80"/>
    </row>
    <row r="5" spans="1:16" ht="18" x14ac:dyDescent="0.25">
      <c r="A5" s="4" t="s">
        <v>1</v>
      </c>
      <c r="B5" s="4"/>
      <c r="C5" s="80"/>
      <c r="D5" s="4"/>
      <c r="E5" s="80"/>
      <c r="F5" s="4"/>
      <c r="G5" s="80"/>
      <c r="H5" s="4"/>
      <c r="I5" s="80"/>
      <c r="J5" s="4"/>
      <c r="K5" s="80"/>
      <c r="L5" s="4"/>
      <c r="M5" s="80"/>
      <c r="N5" s="4"/>
      <c r="O5" s="80"/>
    </row>
    <row r="6" spans="1:16" ht="18" x14ac:dyDescent="0.25">
      <c r="A6" s="4" t="s">
        <v>1</v>
      </c>
      <c r="B6" s="4"/>
      <c r="C6" s="80"/>
      <c r="D6" s="4"/>
      <c r="E6" s="80"/>
      <c r="F6" s="4"/>
      <c r="G6" s="80"/>
      <c r="H6" s="4"/>
      <c r="I6" s="80"/>
      <c r="J6" s="4"/>
      <c r="K6" s="80"/>
      <c r="L6" s="4"/>
      <c r="M6" s="80"/>
      <c r="N6" s="4"/>
      <c r="O6" s="80"/>
    </row>
    <row r="7" spans="1:16" ht="18" x14ac:dyDescent="0.25">
      <c r="A7" s="4" t="s">
        <v>1</v>
      </c>
      <c r="B7" s="4"/>
      <c r="C7" s="80"/>
      <c r="D7" s="4"/>
      <c r="E7" s="80"/>
      <c r="F7" s="4"/>
      <c r="G7" s="80"/>
      <c r="H7" s="4"/>
      <c r="I7" s="80"/>
      <c r="J7" s="4"/>
      <c r="K7" s="80"/>
      <c r="L7" s="4"/>
      <c r="M7" s="80"/>
      <c r="N7" s="4"/>
      <c r="O7" s="80"/>
    </row>
    <row r="8" spans="1:16" ht="18" x14ac:dyDescent="0.25">
      <c r="A8" s="4" t="s">
        <v>1</v>
      </c>
      <c r="B8" s="4"/>
      <c r="C8" s="80"/>
      <c r="D8" s="4"/>
      <c r="E8" s="80"/>
      <c r="F8" s="4"/>
      <c r="G8" s="80"/>
      <c r="H8" s="4"/>
      <c r="I8" s="80"/>
      <c r="J8" s="4"/>
      <c r="K8" s="80"/>
      <c r="L8" s="4"/>
      <c r="M8" s="80"/>
      <c r="N8" s="4"/>
      <c r="O8" s="80"/>
    </row>
    <row r="9" spans="1:16" ht="8.1" customHeight="1" x14ac:dyDescent="0.25">
      <c r="A9" s="6"/>
      <c r="B9" s="6"/>
      <c r="D9" s="6"/>
      <c r="F9" s="6"/>
      <c r="H9" s="6"/>
      <c r="J9" s="6"/>
      <c r="L9" s="6"/>
      <c r="N9" s="6"/>
      <c r="O9" s="6"/>
    </row>
    <row r="10" spans="1:16" ht="18" x14ac:dyDescent="0.25">
      <c r="A10" s="32" t="s">
        <v>39</v>
      </c>
      <c r="B10" s="32"/>
      <c r="C10" s="1" t="s">
        <v>36</v>
      </c>
      <c r="D10" s="32"/>
      <c r="E10" s="1" t="s">
        <v>36</v>
      </c>
      <c r="F10" s="32"/>
      <c r="G10" s="1" t="s">
        <v>36</v>
      </c>
      <c r="H10" s="32"/>
      <c r="I10" s="1" t="s">
        <v>36</v>
      </c>
      <c r="J10" s="32"/>
      <c r="K10" s="1" t="s">
        <v>36</v>
      </c>
      <c r="L10" s="32"/>
      <c r="M10" s="1" t="s">
        <v>36</v>
      </c>
      <c r="N10" s="32"/>
      <c r="O10" s="1" t="s">
        <v>37</v>
      </c>
      <c r="P10" t="s">
        <v>38</v>
      </c>
    </row>
    <row r="11" spans="1:16" ht="18" x14ac:dyDescent="0.25">
      <c r="A11" s="4" t="s">
        <v>1</v>
      </c>
      <c r="B11" s="4"/>
      <c r="C11" s="80">
        <f>IF(OR(COUNTIF(B11:B16,"5"),COUNTIF(B11:B16,"P")),0,SUM(B11:B16))</f>
        <v>0</v>
      </c>
      <c r="D11" s="4"/>
      <c r="E11" s="80">
        <f>IF(OR(COUNTIF(D11:D16,"5"),COUNTIF(D11:D16,"P")),0,SUM(D11:D16))</f>
        <v>0</v>
      </c>
      <c r="F11" s="4"/>
      <c r="G11" s="80">
        <f>IF(OR(COUNTIF(F11:F16,"5"),COUNTIF(F11:F16,"P")),0,SUM(F11:F16))</f>
        <v>0</v>
      </c>
      <c r="H11" s="4"/>
      <c r="I11" s="80">
        <f>IF(OR(COUNTIF(H11:H16,"5"),COUNTIF(H11:H16,"P")),0,SUM(H11:H16))</f>
        <v>0</v>
      </c>
      <c r="J11" s="4"/>
      <c r="K11" s="80">
        <f>IF(OR(COUNTIF(J11:J16,"5"),COUNTIF(J11:J16,"P")),0,SUM(J11:J16))</f>
        <v>0</v>
      </c>
      <c r="L11" s="4"/>
      <c r="M11" s="80">
        <f>IF(OR(COUNTIF(L11:L16,"5"),COUNTIF(L11:L16,"P")),0,SUM(L11:L16))</f>
        <v>0</v>
      </c>
      <c r="N11" s="4"/>
      <c r="O11" s="80">
        <f>SUM(C11,E11,G11,I11,K11,M11)</f>
        <v>0</v>
      </c>
    </row>
    <row r="12" spans="1:16" ht="18" x14ac:dyDescent="0.25">
      <c r="A12" s="4" t="s">
        <v>1</v>
      </c>
      <c r="B12" s="4"/>
      <c r="C12" s="80"/>
      <c r="D12" s="4"/>
      <c r="E12" s="80"/>
      <c r="F12" s="4"/>
      <c r="G12" s="80"/>
      <c r="H12" s="4"/>
      <c r="I12" s="80"/>
      <c r="J12" s="4"/>
      <c r="K12" s="80"/>
      <c r="L12" s="4"/>
      <c r="M12" s="80"/>
      <c r="N12" s="4"/>
      <c r="O12" s="80"/>
    </row>
    <row r="13" spans="1:16" ht="18" x14ac:dyDescent="0.25">
      <c r="A13" s="4" t="s">
        <v>1</v>
      </c>
      <c r="B13" s="4"/>
      <c r="C13" s="80"/>
      <c r="D13" s="4"/>
      <c r="E13" s="80"/>
      <c r="F13" s="4"/>
      <c r="G13" s="80"/>
      <c r="H13" s="4"/>
      <c r="I13" s="80"/>
      <c r="J13" s="4"/>
      <c r="K13" s="80"/>
      <c r="L13" s="4"/>
      <c r="M13" s="80"/>
      <c r="N13" s="4"/>
      <c r="O13" s="80"/>
    </row>
    <row r="14" spans="1:16" ht="18" x14ac:dyDescent="0.25">
      <c r="A14" s="4" t="s">
        <v>1</v>
      </c>
      <c r="B14" s="4"/>
      <c r="C14" s="80"/>
      <c r="D14" s="4"/>
      <c r="E14" s="80"/>
      <c r="F14" s="4"/>
      <c r="G14" s="80"/>
      <c r="H14" s="4"/>
      <c r="I14" s="80"/>
      <c r="J14" s="4"/>
      <c r="K14" s="80"/>
      <c r="L14" s="4"/>
      <c r="M14" s="80"/>
      <c r="N14" s="4"/>
      <c r="O14" s="80"/>
    </row>
    <row r="15" spans="1:16" ht="18" x14ac:dyDescent="0.25">
      <c r="A15" s="4" t="s">
        <v>1</v>
      </c>
      <c r="B15" s="4"/>
      <c r="C15" s="80"/>
      <c r="D15" s="4"/>
      <c r="E15" s="80"/>
      <c r="F15" s="4"/>
      <c r="G15" s="80"/>
      <c r="H15" s="4"/>
      <c r="I15" s="80"/>
      <c r="J15" s="4"/>
      <c r="K15" s="80"/>
      <c r="L15" s="4"/>
      <c r="M15" s="80"/>
      <c r="N15" s="4"/>
      <c r="O15" s="80"/>
    </row>
    <row r="16" spans="1:16" ht="18" x14ac:dyDescent="0.25">
      <c r="A16" s="4" t="s">
        <v>1</v>
      </c>
      <c r="B16" s="4"/>
      <c r="C16" s="80"/>
      <c r="D16" s="4"/>
      <c r="E16" s="80"/>
      <c r="F16" s="4"/>
      <c r="G16" s="80"/>
      <c r="H16" s="4"/>
      <c r="I16" s="80"/>
      <c r="J16" s="4"/>
      <c r="K16" s="80"/>
      <c r="L16" s="4"/>
      <c r="M16" s="80"/>
      <c r="N16" s="4"/>
      <c r="O16" s="80"/>
    </row>
    <row r="20" spans="7:7" x14ac:dyDescent="0.25">
      <c r="G20" t="s">
        <v>40</v>
      </c>
    </row>
  </sheetData>
  <mergeCells count="15">
    <mergeCell ref="M11:M16"/>
    <mergeCell ref="O11:O16"/>
    <mergeCell ref="C11:C16"/>
    <mergeCell ref="E11:E16"/>
    <mergeCell ref="G11:G16"/>
    <mergeCell ref="I11:I16"/>
    <mergeCell ref="K11:K16"/>
    <mergeCell ref="A1:O1"/>
    <mergeCell ref="C3:C8"/>
    <mergeCell ref="E3:E8"/>
    <mergeCell ref="G3:G8"/>
    <mergeCell ref="I3:I8"/>
    <mergeCell ref="K3:K8"/>
    <mergeCell ref="M3:M8"/>
    <mergeCell ref="O3:O8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showGridLines="0" zoomScale="130" zoomScaleNormal="130" workbookViewId="0">
      <selection activeCell="A3" sqref="A3"/>
    </sheetView>
  </sheetViews>
  <sheetFormatPr baseColWidth="10" defaultColWidth="8.7109375" defaultRowHeight="15" x14ac:dyDescent="0.25"/>
  <cols>
    <col min="1" max="1" width="19.28515625" customWidth="1"/>
    <col min="2" max="4" width="7.7109375" customWidth="1"/>
    <col min="5" max="5" width="8.28515625" customWidth="1"/>
    <col min="6" max="6" width="7.7109375" customWidth="1"/>
    <col min="7" max="7" width="11.28515625" customWidth="1"/>
    <col min="8" max="1025" width="8.28515625" customWidth="1"/>
  </cols>
  <sheetData>
    <row r="1" spans="1:8" ht="18" x14ac:dyDescent="0.25">
      <c r="A1" s="74" t="s">
        <v>57</v>
      </c>
      <c r="B1" s="74"/>
      <c r="C1" s="74"/>
      <c r="D1" s="74"/>
      <c r="E1" s="74"/>
      <c r="F1" s="74"/>
      <c r="G1" s="74"/>
      <c r="H1" s="74"/>
    </row>
    <row r="2" spans="1:8" ht="18" x14ac:dyDescent="0.25">
      <c r="A2" s="4" t="s">
        <v>1</v>
      </c>
      <c r="B2" s="45">
        <v>0.2</v>
      </c>
      <c r="C2" s="45">
        <v>0.4</v>
      </c>
      <c r="D2" s="45">
        <v>0.6</v>
      </c>
      <c r="E2" s="45">
        <v>0.8</v>
      </c>
      <c r="F2" s="45">
        <v>1</v>
      </c>
      <c r="G2" s="45" t="s">
        <v>11</v>
      </c>
      <c r="H2" s="3" t="s">
        <v>3</v>
      </c>
    </row>
    <row r="3" spans="1:8" ht="18" x14ac:dyDescent="0.25">
      <c r="A3" s="2"/>
      <c r="B3" s="4"/>
      <c r="C3" s="4"/>
      <c r="D3" s="4"/>
      <c r="E3" s="4"/>
      <c r="F3" s="4"/>
      <c r="G3" s="4">
        <f t="shared" ref="G3:G16" si="0">SUM(B3,C3,D3,E3,F3)</f>
        <v>0</v>
      </c>
      <c r="H3" s="5">
        <f t="shared" ref="H3:H16" si="1">_xlfn.RANK.EQ(G3,$G$3:$G$16,0)</f>
        <v>1</v>
      </c>
    </row>
    <row r="4" spans="1:8" ht="18" x14ac:dyDescent="0.25">
      <c r="A4" s="6"/>
      <c r="B4" s="4"/>
      <c r="C4" s="4"/>
      <c r="D4" s="4"/>
      <c r="E4" s="4"/>
      <c r="F4" s="4"/>
      <c r="G4" s="4">
        <f t="shared" si="0"/>
        <v>0</v>
      </c>
      <c r="H4" s="5">
        <f t="shared" si="1"/>
        <v>1</v>
      </c>
    </row>
    <row r="5" spans="1:8" ht="18" x14ac:dyDescent="0.25">
      <c r="A5" s="2"/>
      <c r="B5" s="4"/>
      <c r="C5" s="4"/>
      <c r="D5" s="4"/>
      <c r="E5" s="4"/>
      <c r="F5" s="4"/>
      <c r="G5" s="4">
        <f t="shared" si="0"/>
        <v>0</v>
      </c>
      <c r="H5" s="5">
        <f t="shared" si="1"/>
        <v>1</v>
      </c>
    </row>
    <row r="6" spans="1:8" ht="18" x14ac:dyDescent="0.25">
      <c r="A6" s="2"/>
      <c r="B6" s="4"/>
      <c r="C6" s="4"/>
      <c r="D6" s="4"/>
      <c r="E6" s="4"/>
      <c r="F6" s="4"/>
      <c r="G6" s="4">
        <f t="shared" si="0"/>
        <v>0</v>
      </c>
      <c r="H6" s="5">
        <f t="shared" si="1"/>
        <v>1</v>
      </c>
    </row>
    <row r="7" spans="1:8" ht="18" x14ac:dyDescent="0.25">
      <c r="A7" s="2"/>
      <c r="B7" s="4"/>
      <c r="C7" s="4"/>
      <c r="D7" s="4"/>
      <c r="E7" s="4"/>
      <c r="F7" s="4"/>
      <c r="G7" s="4">
        <f t="shared" si="0"/>
        <v>0</v>
      </c>
      <c r="H7" s="5">
        <f t="shared" si="1"/>
        <v>1</v>
      </c>
    </row>
    <row r="8" spans="1:8" ht="18" x14ac:dyDescent="0.25">
      <c r="A8" s="2"/>
      <c r="B8" s="4"/>
      <c r="C8" s="4"/>
      <c r="D8" s="4"/>
      <c r="E8" s="4"/>
      <c r="F8" s="4"/>
      <c r="G8" s="4">
        <f t="shared" si="0"/>
        <v>0</v>
      </c>
      <c r="H8" s="5">
        <f t="shared" si="1"/>
        <v>1</v>
      </c>
    </row>
    <row r="9" spans="1:8" ht="18" x14ac:dyDescent="0.25">
      <c r="A9" s="2"/>
      <c r="B9" s="4"/>
      <c r="C9" s="4"/>
      <c r="D9" s="4"/>
      <c r="E9" s="4"/>
      <c r="F9" s="4"/>
      <c r="G9" s="4">
        <f t="shared" si="0"/>
        <v>0</v>
      </c>
      <c r="H9" s="5">
        <f t="shared" si="1"/>
        <v>1</v>
      </c>
    </row>
    <row r="10" spans="1:8" ht="18" x14ac:dyDescent="0.25">
      <c r="A10" s="2"/>
      <c r="B10" s="4"/>
      <c r="C10" s="4"/>
      <c r="D10" s="4"/>
      <c r="E10" s="4"/>
      <c r="F10" s="4"/>
      <c r="G10" s="4">
        <f t="shared" si="0"/>
        <v>0</v>
      </c>
      <c r="H10" s="5">
        <f t="shared" si="1"/>
        <v>1</v>
      </c>
    </row>
    <row r="11" spans="1:8" ht="18" x14ac:dyDescent="0.25">
      <c r="A11" s="2"/>
      <c r="B11" s="4"/>
      <c r="C11" s="4"/>
      <c r="D11" s="4"/>
      <c r="E11" s="4"/>
      <c r="F11" s="4"/>
      <c r="G11" s="4">
        <f t="shared" si="0"/>
        <v>0</v>
      </c>
      <c r="H11" s="5">
        <f t="shared" si="1"/>
        <v>1</v>
      </c>
    </row>
    <row r="12" spans="1:8" ht="18" x14ac:dyDescent="0.25">
      <c r="A12" s="2"/>
      <c r="B12" s="4"/>
      <c r="C12" s="4"/>
      <c r="D12" s="4"/>
      <c r="E12" s="4"/>
      <c r="F12" s="4"/>
      <c r="G12" s="4">
        <f t="shared" si="0"/>
        <v>0</v>
      </c>
      <c r="H12" s="5">
        <f t="shared" si="1"/>
        <v>1</v>
      </c>
    </row>
    <row r="13" spans="1:8" ht="18" x14ac:dyDescent="0.25">
      <c r="A13" s="2"/>
      <c r="B13" s="4"/>
      <c r="C13" s="4"/>
      <c r="D13" s="4"/>
      <c r="E13" s="4"/>
      <c r="F13" s="4"/>
      <c r="G13" s="4">
        <f t="shared" si="0"/>
        <v>0</v>
      </c>
      <c r="H13" s="5">
        <f t="shared" si="1"/>
        <v>1</v>
      </c>
    </row>
    <row r="14" spans="1:8" ht="18" x14ac:dyDescent="0.25">
      <c r="A14" s="2"/>
      <c r="B14" s="4"/>
      <c r="C14" s="4"/>
      <c r="D14" s="4"/>
      <c r="E14" s="4"/>
      <c r="F14" s="4"/>
      <c r="G14" s="4">
        <f t="shared" si="0"/>
        <v>0</v>
      </c>
      <c r="H14" s="5">
        <f t="shared" si="1"/>
        <v>1</v>
      </c>
    </row>
    <row r="15" spans="1:8" ht="18" x14ac:dyDescent="0.25">
      <c r="A15" s="2"/>
      <c r="B15" s="4"/>
      <c r="C15" s="4"/>
      <c r="D15" s="4"/>
      <c r="E15" s="4"/>
      <c r="F15" s="4"/>
      <c r="G15" s="4">
        <f t="shared" si="0"/>
        <v>0</v>
      </c>
      <c r="H15" s="5">
        <f t="shared" si="1"/>
        <v>1</v>
      </c>
    </row>
    <row r="16" spans="1:8" ht="18" x14ac:dyDescent="0.25">
      <c r="A16" s="2"/>
      <c r="B16" s="4"/>
      <c r="C16" s="4"/>
      <c r="D16" s="4"/>
      <c r="E16" s="4"/>
      <c r="F16" s="4"/>
      <c r="G16" s="4">
        <f t="shared" si="0"/>
        <v>0</v>
      </c>
      <c r="H16" s="5">
        <f t="shared" si="1"/>
        <v>1</v>
      </c>
    </row>
    <row r="17" spans="1:8" ht="18" x14ac:dyDescent="0.25">
      <c r="A17" s="2" t="s">
        <v>58</v>
      </c>
      <c r="B17" s="4"/>
      <c r="C17" s="4"/>
      <c r="D17" s="4"/>
      <c r="E17" s="4"/>
      <c r="F17" s="4"/>
      <c r="G17" s="4"/>
      <c r="H17" s="5"/>
    </row>
    <row r="18" spans="1:8" ht="18" x14ac:dyDescent="0.25">
      <c r="B18" s="4"/>
      <c r="C18" s="4"/>
      <c r="D18" s="4"/>
      <c r="E18" s="4"/>
      <c r="F18" s="4"/>
    </row>
    <row r="19" spans="1:8" ht="18" x14ac:dyDescent="0.25">
      <c r="B19" s="4"/>
      <c r="C19" s="4"/>
      <c r="D19" s="4"/>
      <c r="E19" s="4"/>
      <c r="F19" s="4"/>
    </row>
    <row r="20" spans="1:8" ht="18" x14ac:dyDescent="0.25">
      <c r="B20" s="4"/>
      <c r="C20" s="4"/>
      <c r="D20" s="4"/>
      <c r="E20" s="4"/>
      <c r="F20" s="4"/>
    </row>
    <row r="21" spans="1:8" ht="18" x14ac:dyDescent="0.25">
      <c r="B21" s="6"/>
    </row>
    <row r="22" spans="1:8" ht="18" x14ac:dyDescent="0.25">
      <c r="B22" s="6"/>
    </row>
    <row r="23" spans="1:8" ht="18" x14ac:dyDescent="0.25">
      <c r="B23" s="6"/>
    </row>
    <row r="24" spans="1:8" ht="18" x14ac:dyDescent="0.25">
      <c r="B24" s="6"/>
    </row>
    <row r="25" spans="1:8" ht="18" x14ac:dyDescent="0.25">
      <c r="B25" s="6"/>
    </row>
    <row r="26" spans="1:8" ht="18" x14ac:dyDescent="0.25">
      <c r="B26" s="6"/>
    </row>
    <row r="27" spans="1:8" ht="18" x14ac:dyDescent="0.25">
      <c r="B27" s="6"/>
    </row>
    <row r="28" spans="1:8" ht="18" x14ac:dyDescent="0.25">
      <c r="B28" s="6" t="str">
        <f>IF(AND(B14=SMALL(RECHNEN!K$36:K$49,1),NOT(EXACT(A14,B27)),NOT(EXACT(A14,B26))),$A14,IF(AND(B15=SMALL(RECHNEN!K$36:K$49,1),NOT(EXACT(A15,B27)),NOT(EXACT(A15,B26))),$A15,IF(AND(B16=SMALL(RECHNEN!K$36:K$49,1),NOT(EXACT(A16,B26)),NOT(EXACT(A16,B27))),$A16,IF(AND(B17=SMALL(RECHNEN!K$36:K$49,1),NOT(EXACT(A17,B26)),NOT(EXACT(A17,B27))),$A17,IF(AND(B18=SMALL(RECHNEN!K$36:K$49,1),NOT(EXACT(A18,B26)),NOT(EXACT(A18,B27))),$A18,IF(AND(B19=SMALL(RECHNEN!K46:K$49,1),NOT(EXACT(A19,B26)),NOT(EXACT(A19,B27))),$A19,IF(AND(B20=SMALL(RECHNEN!K$36:K$49,1),NOT(EXACT(A20,B26)),NOT(EXACT(A20,B27))),$A20,IF(AND(B21=SMALL(RECHNEN!K$36:K$49,1),NOT(EXACT(A21,B26)),NOT(EXACT(A21,B27))),$A21,IF(AND(B22=SMALL(RECHNEN!K$36:K$49,1),NOT(EXACT(A22,B26)),NOT(EXACT(A22,B27))),$A22,IF(AND(B23=SMALL(RECHNEN!K$36:K$49,1),NOT(EXACT(A23,B26)),NOT(EXACT(A23,B27))),$A23,IF(AND(B24=SMALL(RECHNEN!K$36:K$49,1),NOT(EXACT(A24,B26)),NOT(EXACT(A24,B27))),$A24,IF(AND(B25=SMALL(RECHNEN!K$36:K$49,1),NOT(EXACT(A25,B26)),NOT(EXACT(A25,B27))),$A25,""))))))))))))</f>
        <v/>
      </c>
    </row>
  </sheetData>
  <mergeCells count="1">
    <mergeCell ref="A1:H1"/>
  </mergeCells>
  <conditionalFormatting sqref="A4:A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{6F18FB2B-8095-4FEA-A6CB-2D8040BEA011}</x14:id>
        </ext>
      </extLst>
    </cfRule>
  </conditionalFormatting>
  <conditionalFormatting sqref="A4:A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{61D92F5D-7137-4BC4-838A-15A0EB8999C9}</x14:id>
        </ext>
      </extLst>
    </cfRule>
  </conditionalFormatting>
  <conditionalFormatting sqref="A4:A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{793B61FE-27B5-4178-B4B7-89B019F9EA14}</x14:id>
        </ext>
      </extLst>
    </cfRule>
  </conditionalFormatting>
  <conditionalFormatting sqref="A4:A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{8B3C8680-CFE7-40FC-B6D8-D55536BF9327}</x14:id>
        </ext>
      </extLst>
    </cfRule>
  </conditionalFormatting>
  <conditionalFormatting sqref="E3:E16">
    <cfRule type="containsText" dxfId="1" priority="2" operator="containsText" text="1"/>
  </conditionalFormatting>
  <conditionalFormatting sqref="H3:H17">
    <cfRule type="containsText" dxfId="0" priority="3" operator="containsText" text="1"/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Roman,Standard"&amp;12&amp;A</oddHeader>
    <oddFooter>&amp;C&amp;"Times New Roman,Standard"&amp;12Seite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18FB2B-8095-4FEA-A6CB-2D8040BEA011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A4:A9</xm:sqref>
        </x14:conditionalFormatting>
        <x14:conditionalFormatting xmlns:xm="http://schemas.microsoft.com/office/excel/2006/main">
          <x14:cfRule type="dataBar" id="{61D92F5D-7137-4BC4-838A-15A0EB8999C9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A4:A11</xm:sqref>
        </x14:conditionalFormatting>
        <x14:conditionalFormatting xmlns:xm="http://schemas.microsoft.com/office/excel/2006/main">
          <x14:cfRule type="dataBar" id="{793B61FE-27B5-4178-B4B7-89B019F9EA14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A4:A13</xm:sqref>
        </x14:conditionalFormatting>
        <x14:conditionalFormatting xmlns:xm="http://schemas.microsoft.com/office/excel/2006/main">
          <x14:cfRule type="dataBar" id="{8B3C8680-CFE7-40FC-B6D8-D55536BF9327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A4:A17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"/>
  <sheetViews>
    <sheetView showGridLines="0" zoomScale="110" zoomScaleNormal="110" workbookViewId="0">
      <selection activeCell="A3" sqref="A3"/>
    </sheetView>
  </sheetViews>
  <sheetFormatPr baseColWidth="10" defaultColWidth="8.7109375" defaultRowHeight="15" x14ac:dyDescent="0.25"/>
  <cols>
    <col min="1" max="1" width="15.7109375" customWidth="1"/>
    <col min="2" max="6" width="5.7109375" customWidth="1"/>
    <col min="7" max="7" width="15.5703125" customWidth="1"/>
    <col min="8" max="8" width="15.7109375" customWidth="1"/>
    <col min="9" max="13" width="5.7109375" customWidth="1"/>
    <col min="14" max="14" width="11.7109375" customWidth="1"/>
    <col min="15" max="1025" width="8.28515625" customWidth="1"/>
  </cols>
  <sheetData>
    <row r="1" spans="1:14" ht="30" customHeight="1" x14ac:dyDescent="0.25">
      <c r="A1" s="81" t="s">
        <v>41</v>
      </c>
      <c r="B1" s="81"/>
      <c r="C1" s="81"/>
      <c r="D1" s="81"/>
      <c r="E1" s="81"/>
      <c r="F1" s="81"/>
      <c r="H1" s="81" t="s">
        <v>41</v>
      </c>
      <c r="I1" s="81"/>
      <c r="J1" s="81"/>
      <c r="K1" s="81"/>
      <c r="L1" s="81"/>
      <c r="M1" s="81"/>
    </row>
    <row r="2" spans="1:14" ht="30" customHeight="1" x14ac:dyDescent="0.25">
      <c r="A2" s="32" t="s">
        <v>35</v>
      </c>
      <c r="B2" s="33"/>
      <c r="C2" s="34"/>
      <c r="D2" s="34"/>
      <c r="E2" s="34"/>
      <c r="F2" s="35"/>
      <c r="G2" t="s">
        <v>38</v>
      </c>
      <c r="H2" s="32" t="s">
        <v>39</v>
      </c>
      <c r="I2" s="33"/>
      <c r="J2" s="34"/>
      <c r="K2" s="34"/>
      <c r="L2" s="34"/>
      <c r="M2" s="35"/>
      <c r="N2" t="s">
        <v>38</v>
      </c>
    </row>
    <row r="3" spans="1:14" ht="30" customHeight="1" x14ac:dyDescent="0.25">
      <c r="A3" s="2"/>
      <c r="B3" s="36">
        <v>1</v>
      </c>
      <c r="C3" s="37"/>
      <c r="D3" s="37"/>
      <c r="E3" s="37"/>
      <c r="F3" s="38"/>
      <c r="H3" s="2"/>
      <c r="I3" s="36">
        <v>1</v>
      </c>
      <c r="J3" s="37"/>
      <c r="K3" s="37"/>
      <c r="L3" s="37"/>
      <c r="M3" s="38"/>
    </row>
    <row r="4" spans="1:14" ht="30" customHeight="1" x14ac:dyDescent="0.25">
      <c r="A4" s="2"/>
      <c r="B4" s="36">
        <v>2</v>
      </c>
      <c r="C4" s="37">
        <v>2</v>
      </c>
      <c r="D4" s="37"/>
      <c r="E4" s="37"/>
      <c r="F4" s="38"/>
      <c r="H4" s="2"/>
      <c r="I4" s="36">
        <v>2</v>
      </c>
      <c r="J4" s="37">
        <v>2</v>
      </c>
      <c r="K4" s="37"/>
      <c r="L4" s="37"/>
      <c r="M4" s="38"/>
    </row>
    <row r="5" spans="1:14" ht="30" customHeight="1" x14ac:dyDescent="0.25">
      <c r="A5" s="2"/>
      <c r="B5" s="36">
        <v>3</v>
      </c>
      <c r="C5" s="37">
        <v>3</v>
      </c>
      <c r="D5" s="37">
        <v>3</v>
      </c>
      <c r="E5" s="37"/>
      <c r="F5" s="38"/>
      <c r="H5" s="2"/>
      <c r="I5" s="36">
        <v>3</v>
      </c>
      <c r="J5" s="37">
        <v>3</v>
      </c>
      <c r="K5" s="37">
        <v>3</v>
      </c>
      <c r="L5" s="37"/>
      <c r="M5" s="38"/>
    </row>
    <row r="6" spans="1:14" ht="30" customHeight="1" x14ac:dyDescent="0.25">
      <c r="A6" s="2"/>
      <c r="B6" s="36">
        <v>4</v>
      </c>
      <c r="C6" s="37">
        <v>4</v>
      </c>
      <c r="D6" s="37">
        <v>4</v>
      </c>
      <c r="E6" s="37">
        <v>4</v>
      </c>
      <c r="F6" s="38"/>
      <c r="H6" s="2"/>
      <c r="I6" s="36">
        <v>4</v>
      </c>
      <c r="J6" s="37">
        <v>4</v>
      </c>
      <c r="K6" s="37">
        <v>4</v>
      </c>
      <c r="L6" s="37">
        <v>4</v>
      </c>
      <c r="M6" s="38"/>
    </row>
    <row r="7" spans="1:14" ht="30" customHeight="1" x14ac:dyDescent="0.25">
      <c r="A7" s="2"/>
      <c r="B7" s="36">
        <v>5</v>
      </c>
      <c r="C7" s="37">
        <v>5</v>
      </c>
      <c r="D7" s="37">
        <v>5</v>
      </c>
      <c r="E7" s="37">
        <v>5</v>
      </c>
      <c r="F7" s="38">
        <v>5</v>
      </c>
      <c r="H7" s="2"/>
      <c r="I7" s="36">
        <v>5</v>
      </c>
      <c r="J7" s="37">
        <v>5</v>
      </c>
      <c r="K7" s="37">
        <v>5</v>
      </c>
      <c r="L7" s="37">
        <v>5</v>
      </c>
      <c r="M7" s="38">
        <v>5</v>
      </c>
    </row>
    <row r="8" spans="1:14" ht="30" customHeight="1" x14ac:dyDescent="0.25">
      <c r="A8" s="2"/>
      <c r="B8" s="36">
        <v>6</v>
      </c>
      <c r="C8" s="37">
        <v>6</v>
      </c>
      <c r="D8" s="37">
        <v>6</v>
      </c>
      <c r="E8" s="37">
        <v>6</v>
      </c>
      <c r="F8" s="38"/>
      <c r="H8" s="2"/>
      <c r="I8" s="36">
        <v>6</v>
      </c>
      <c r="J8" s="37">
        <v>6</v>
      </c>
      <c r="K8" s="37">
        <v>6</v>
      </c>
      <c r="L8" s="37">
        <v>6</v>
      </c>
      <c r="M8" s="38"/>
    </row>
    <row r="9" spans="1:14" ht="30" customHeight="1" x14ac:dyDescent="0.25">
      <c r="A9" s="2"/>
      <c r="B9" s="36">
        <v>7</v>
      </c>
      <c r="C9" s="37">
        <v>7</v>
      </c>
      <c r="D9" s="37">
        <v>7</v>
      </c>
      <c r="E9" s="37"/>
      <c r="F9" s="38"/>
      <c r="H9" s="2"/>
      <c r="I9" s="36">
        <v>7</v>
      </c>
      <c r="J9" s="37">
        <v>7</v>
      </c>
      <c r="K9" s="37">
        <v>7</v>
      </c>
      <c r="L9" s="37"/>
      <c r="M9" s="38"/>
    </row>
    <row r="10" spans="1:14" ht="30" customHeight="1" x14ac:dyDescent="0.25">
      <c r="A10" s="2"/>
      <c r="B10" s="36">
        <v>8</v>
      </c>
      <c r="C10" s="37">
        <v>8</v>
      </c>
      <c r="D10" s="37"/>
      <c r="E10" s="37"/>
      <c r="F10" s="38"/>
      <c r="H10" s="4"/>
      <c r="I10" s="36">
        <v>8</v>
      </c>
      <c r="J10" s="37">
        <v>8</v>
      </c>
      <c r="K10" s="37"/>
      <c r="L10" s="37"/>
      <c r="M10" s="38"/>
    </row>
    <row r="11" spans="1:14" ht="30" customHeight="1" x14ac:dyDescent="0.25">
      <c r="A11" s="2"/>
      <c r="B11" s="39">
        <v>9</v>
      </c>
      <c r="C11" s="40"/>
      <c r="D11" s="40"/>
      <c r="E11" s="40"/>
      <c r="F11" s="41"/>
      <c r="H11" s="4"/>
      <c r="I11" s="39">
        <v>9</v>
      </c>
      <c r="J11" s="40"/>
      <c r="K11" s="40"/>
      <c r="L11" s="40"/>
      <c r="M11" s="41"/>
    </row>
  </sheetData>
  <mergeCells count="2">
    <mergeCell ref="A1:F1"/>
    <mergeCell ref="H1:M1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showGridLines="0" topLeftCell="A2" zoomScale="160" zoomScaleNormal="160" workbookViewId="0">
      <selection activeCell="B5" sqref="B5"/>
    </sheetView>
  </sheetViews>
  <sheetFormatPr baseColWidth="10" defaultColWidth="8.7109375" defaultRowHeight="15" x14ac:dyDescent="0.25"/>
  <cols>
    <col min="1" max="1" width="14.7109375" customWidth="1"/>
    <col min="2" max="2" width="8.28515625" customWidth="1"/>
    <col min="3" max="3" width="15.85546875" customWidth="1"/>
    <col min="4" max="5" width="8.28515625" customWidth="1"/>
    <col min="6" max="6" width="11.28515625" customWidth="1"/>
    <col min="7" max="1025" width="8.28515625" customWidth="1"/>
  </cols>
  <sheetData>
    <row r="1" spans="1:6" ht="18" x14ac:dyDescent="0.25">
      <c r="A1" s="82" t="s">
        <v>42</v>
      </c>
      <c r="B1" s="82"/>
      <c r="C1" s="82"/>
      <c r="D1" s="82"/>
      <c r="E1" s="82"/>
      <c r="F1" s="82"/>
    </row>
    <row r="2" spans="1:6" s="44" customFormat="1" ht="15.75" x14ac:dyDescent="0.25">
      <c r="A2" s="42" t="s">
        <v>1</v>
      </c>
      <c r="B2" s="42" t="s">
        <v>43</v>
      </c>
      <c r="C2" s="42" t="s">
        <v>44</v>
      </c>
      <c r="D2" s="42" t="s">
        <v>45</v>
      </c>
      <c r="E2" s="42" t="s">
        <v>11</v>
      </c>
      <c r="F2" s="43" t="s">
        <v>14</v>
      </c>
    </row>
    <row r="3" spans="1:6" ht="18" x14ac:dyDescent="0.25">
      <c r="A3" s="2" t="s">
        <v>7</v>
      </c>
      <c r="B3" s="4"/>
      <c r="C3" s="4"/>
      <c r="D3" s="4"/>
      <c r="E3" s="4">
        <f t="shared" ref="E3:E17" si="0">SUM(B3:D3)</f>
        <v>0</v>
      </c>
      <c r="F3" s="8">
        <f t="shared" ref="F3:F17" si="1">_xlfn.RANK.EQ(E3,$E$3:$E$17,0)</f>
        <v>1</v>
      </c>
    </row>
    <row r="4" spans="1:6" ht="18" x14ac:dyDescent="0.25">
      <c r="A4" s="6" t="s">
        <v>6</v>
      </c>
      <c r="B4" s="4"/>
      <c r="C4" s="4"/>
      <c r="D4" s="4"/>
      <c r="E4" s="4">
        <f t="shared" si="0"/>
        <v>0</v>
      </c>
      <c r="F4" s="8">
        <f t="shared" si="1"/>
        <v>1</v>
      </c>
    </row>
    <row r="5" spans="1:6" ht="18" x14ac:dyDescent="0.25">
      <c r="A5" s="2" t="s">
        <v>17</v>
      </c>
      <c r="B5" s="4"/>
      <c r="C5" s="4"/>
      <c r="D5" s="4"/>
      <c r="E5" s="4">
        <f t="shared" si="0"/>
        <v>0</v>
      </c>
      <c r="F5" s="8">
        <f t="shared" si="1"/>
        <v>1</v>
      </c>
    </row>
    <row r="6" spans="1:6" ht="18" x14ac:dyDescent="0.25">
      <c r="A6" s="2" t="s">
        <v>9</v>
      </c>
      <c r="B6" s="4"/>
      <c r="C6" s="4"/>
      <c r="D6" s="4"/>
      <c r="E6" s="4">
        <f t="shared" si="0"/>
        <v>0</v>
      </c>
      <c r="F6" s="8">
        <f t="shared" si="1"/>
        <v>1</v>
      </c>
    </row>
    <row r="7" spans="1:6" ht="18" x14ac:dyDescent="0.25">
      <c r="A7" s="2" t="s">
        <v>105</v>
      </c>
      <c r="B7" s="4"/>
      <c r="C7" s="4"/>
      <c r="D7" s="4"/>
      <c r="E7" s="4">
        <f t="shared" si="0"/>
        <v>0</v>
      </c>
      <c r="F7" s="8">
        <f t="shared" si="1"/>
        <v>1</v>
      </c>
    </row>
    <row r="8" spans="1:6" ht="18" x14ac:dyDescent="0.25">
      <c r="A8" s="2" t="s">
        <v>106</v>
      </c>
      <c r="B8" s="4"/>
      <c r="C8" s="4"/>
      <c r="D8" s="4"/>
      <c r="E8" s="4">
        <f t="shared" si="0"/>
        <v>0</v>
      </c>
      <c r="F8" s="8">
        <f t="shared" si="1"/>
        <v>1</v>
      </c>
    </row>
    <row r="9" spans="1:6" ht="18" x14ac:dyDescent="0.25">
      <c r="A9" s="2" t="s">
        <v>8</v>
      </c>
      <c r="B9" s="4"/>
      <c r="C9" s="4"/>
      <c r="D9" s="4"/>
      <c r="E9" s="4">
        <f t="shared" si="0"/>
        <v>0</v>
      </c>
      <c r="F9" s="8">
        <f t="shared" si="1"/>
        <v>1</v>
      </c>
    </row>
    <row r="10" spans="1:6" ht="18" x14ac:dyDescent="0.25">
      <c r="A10" s="2" t="s">
        <v>102</v>
      </c>
      <c r="B10" s="4"/>
      <c r="C10" s="4"/>
      <c r="D10" s="4"/>
      <c r="E10" s="4">
        <f t="shared" si="0"/>
        <v>0</v>
      </c>
      <c r="F10" s="8">
        <f t="shared" si="1"/>
        <v>1</v>
      </c>
    </row>
    <row r="11" spans="1:6" ht="18" x14ac:dyDescent="0.25">
      <c r="A11" s="2" t="s">
        <v>103</v>
      </c>
      <c r="B11" s="4"/>
      <c r="C11" s="4"/>
      <c r="D11" s="4"/>
      <c r="E11" s="4">
        <f t="shared" si="0"/>
        <v>0</v>
      </c>
      <c r="F11" s="8">
        <f t="shared" si="1"/>
        <v>1</v>
      </c>
    </row>
    <row r="12" spans="1:6" ht="18" x14ac:dyDescent="0.25">
      <c r="A12" s="2" t="s">
        <v>65</v>
      </c>
      <c r="B12" s="4"/>
      <c r="C12" s="4"/>
      <c r="D12" s="4"/>
      <c r="E12" s="4">
        <f t="shared" si="0"/>
        <v>0</v>
      </c>
      <c r="F12" s="8">
        <f t="shared" si="1"/>
        <v>1</v>
      </c>
    </row>
    <row r="13" spans="1:6" ht="18" x14ac:dyDescent="0.25">
      <c r="A13" s="2" t="s">
        <v>5</v>
      </c>
      <c r="B13" s="4"/>
      <c r="C13" s="4"/>
      <c r="D13" s="4"/>
      <c r="E13" s="4">
        <f t="shared" si="0"/>
        <v>0</v>
      </c>
      <c r="F13" s="8">
        <f t="shared" si="1"/>
        <v>1</v>
      </c>
    </row>
    <row r="14" spans="1:6" ht="18" x14ac:dyDescent="0.25">
      <c r="A14" s="2"/>
      <c r="B14" s="4"/>
      <c r="C14" s="4"/>
      <c r="D14" s="4"/>
      <c r="E14" s="4">
        <f t="shared" si="0"/>
        <v>0</v>
      </c>
      <c r="F14" s="8">
        <f t="shared" si="1"/>
        <v>1</v>
      </c>
    </row>
    <row r="15" spans="1:6" ht="18" x14ac:dyDescent="0.25">
      <c r="A15" s="2"/>
      <c r="B15" s="4"/>
      <c r="C15" s="4"/>
      <c r="D15" s="4"/>
      <c r="E15" s="4">
        <f t="shared" si="0"/>
        <v>0</v>
      </c>
      <c r="F15" s="8">
        <f t="shared" si="1"/>
        <v>1</v>
      </c>
    </row>
    <row r="16" spans="1:6" ht="18" x14ac:dyDescent="0.25">
      <c r="A16" s="2"/>
      <c r="B16" s="4"/>
      <c r="C16" s="4"/>
      <c r="D16" s="4"/>
      <c r="E16" s="4">
        <f t="shared" si="0"/>
        <v>0</v>
      </c>
      <c r="F16" s="8">
        <f t="shared" si="1"/>
        <v>1</v>
      </c>
    </row>
    <row r="17" spans="1:6" ht="18" x14ac:dyDescent="0.25">
      <c r="A17" s="2"/>
      <c r="B17" s="4"/>
      <c r="C17" s="4"/>
      <c r="D17" s="4"/>
      <c r="E17" s="4">
        <f t="shared" si="0"/>
        <v>0</v>
      </c>
      <c r="F17" s="8">
        <f t="shared" si="1"/>
        <v>1</v>
      </c>
    </row>
  </sheetData>
  <mergeCells count="1">
    <mergeCell ref="A1:F1"/>
  </mergeCells>
  <conditionalFormatting sqref="A4:A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{F71AEF71-44A4-405C-8F30-1BECC0CC936F}</x14:id>
        </ext>
      </extLst>
    </cfRule>
  </conditionalFormatting>
  <conditionalFormatting sqref="A4:A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{C0DA7FA0-F7AD-4727-9AB6-ED805E83DD72}</x14:id>
        </ext>
      </extLst>
    </cfRule>
  </conditionalFormatting>
  <conditionalFormatting sqref="A4:A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{C07B7D5A-C243-49DD-84DB-A4706038EE43}</x14:id>
        </ext>
      </extLst>
    </cfRule>
  </conditionalFormatting>
  <conditionalFormatting sqref="A4:A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{66C1B257-498E-46F7-BD77-51E5F043407F}</x14:id>
        </ext>
      </extLst>
    </cfRule>
  </conditionalFormatting>
  <conditionalFormatting sqref="B3:E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{7558E8E6-E884-4FEF-AFD8-49DB20D8C82D}</x14:id>
        </ext>
      </extLst>
    </cfRule>
  </conditionalFormatting>
  <conditionalFormatting sqref="F2:F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{A76669A5-455A-4D27-A7BF-1077B21A90F6}</x14:id>
        </ext>
      </extLst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AEF71-44A4-405C-8F30-1BECC0CC936F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A4:A9</xm:sqref>
        </x14:conditionalFormatting>
        <x14:conditionalFormatting xmlns:xm="http://schemas.microsoft.com/office/excel/2006/main">
          <x14:cfRule type="dataBar" id="{C0DA7FA0-F7AD-4727-9AB6-ED805E83DD72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A4:A11</xm:sqref>
        </x14:conditionalFormatting>
        <x14:conditionalFormatting xmlns:xm="http://schemas.microsoft.com/office/excel/2006/main">
          <x14:cfRule type="dataBar" id="{C07B7D5A-C243-49DD-84DB-A4706038EE43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A4:A12</xm:sqref>
        </x14:conditionalFormatting>
        <x14:conditionalFormatting xmlns:xm="http://schemas.microsoft.com/office/excel/2006/main">
          <x14:cfRule type="dataBar" id="{66C1B257-498E-46F7-BD77-51E5F043407F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A4:A15</xm:sqref>
        </x14:conditionalFormatting>
        <x14:conditionalFormatting xmlns:xm="http://schemas.microsoft.com/office/excel/2006/main">
          <x14:cfRule type="dataBar" id="{7558E8E6-E884-4FEF-AFD8-49DB20D8C82D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B3:E17</xm:sqref>
        </x14:conditionalFormatting>
        <x14:conditionalFormatting xmlns:xm="http://schemas.microsoft.com/office/excel/2006/main">
          <x14:cfRule type="dataBar" id="{A76669A5-455A-4D27-A7BF-1077B21A90F6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F2:F17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"/>
  <sheetViews>
    <sheetView showGridLines="0" topLeftCell="A2" zoomScaleNormal="100" workbookViewId="0">
      <selection activeCell="A3" sqref="A3"/>
    </sheetView>
  </sheetViews>
  <sheetFormatPr baseColWidth="10" defaultColWidth="8.7109375" defaultRowHeight="15" x14ac:dyDescent="0.25"/>
  <cols>
    <col min="1" max="1" width="14" customWidth="1"/>
    <col min="2" max="2" width="14.5703125" customWidth="1"/>
    <col min="3" max="1025" width="8.42578125" customWidth="1"/>
  </cols>
  <sheetData>
    <row r="1" spans="1:13" ht="22.5" customHeight="1" x14ac:dyDescent="0.25">
      <c r="A1" s="83" t="s">
        <v>84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5"/>
    </row>
    <row r="2" spans="1:13" ht="18.399999999999999" customHeight="1" x14ac:dyDescent="0.25">
      <c r="A2" s="64" t="s">
        <v>1</v>
      </c>
      <c r="B2" s="64" t="s">
        <v>46</v>
      </c>
      <c r="C2" s="64" t="s">
        <v>3</v>
      </c>
      <c r="D2" s="64" t="s">
        <v>47</v>
      </c>
      <c r="E2" s="64" t="s">
        <v>48</v>
      </c>
      <c r="F2" s="64" t="s">
        <v>49</v>
      </c>
      <c r="G2" s="64" t="s">
        <v>50</v>
      </c>
      <c r="H2" s="64" t="s">
        <v>51</v>
      </c>
      <c r="I2" s="64" t="s">
        <v>52</v>
      </c>
      <c r="J2" s="64" t="s">
        <v>53</v>
      </c>
      <c r="K2" s="64" t="s">
        <v>54</v>
      </c>
      <c r="L2" s="64" t="s">
        <v>55</v>
      </c>
      <c r="M2" s="64" t="s">
        <v>56</v>
      </c>
    </row>
    <row r="3" spans="1:13" ht="22.15" customHeight="1" x14ac:dyDescent="0.25">
      <c r="A3" s="2" t="s">
        <v>7</v>
      </c>
      <c r="B3" s="62">
        <f t="shared" ref="B3:B14" si="0">SUM(D3:X3)</f>
        <v>0</v>
      </c>
      <c r="C3" s="65">
        <f t="shared" ref="C3:C14" si="1">_xlfn.RANK.EQ(B3,$B$3:$B$14)</f>
        <v>1</v>
      </c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 ht="23.25" customHeight="1" x14ac:dyDescent="0.25">
      <c r="A4" s="2" t="s">
        <v>6</v>
      </c>
      <c r="B4" s="62">
        <f t="shared" si="0"/>
        <v>0</v>
      </c>
      <c r="C4" s="65">
        <f t="shared" si="1"/>
        <v>1</v>
      </c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1:13" ht="22.15" customHeight="1" x14ac:dyDescent="0.25">
      <c r="A5" s="2" t="s">
        <v>17</v>
      </c>
      <c r="B5" s="62">
        <f t="shared" si="0"/>
        <v>0</v>
      </c>
      <c r="C5" s="65">
        <f t="shared" si="1"/>
        <v>1</v>
      </c>
      <c r="D5" s="62"/>
      <c r="E5" s="62"/>
      <c r="F5" s="62"/>
      <c r="G5" s="62"/>
      <c r="H5" s="62"/>
      <c r="I5" s="62"/>
      <c r="J5" s="62"/>
      <c r="K5" s="62"/>
      <c r="L5" s="62"/>
      <c r="M5" s="62"/>
    </row>
    <row r="6" spans="1:13" ht="22.15" customHeight="1" x14ac:dyDescent="0.25">
      <c r="A6" s="2" t="s">
        <v>9</v>
      </c>
      <c r="B6" s="62">
        <f t="shared" si="0"/>
        <v>0</v>
      </c>
      <c r="C6" s="65">
        <f t="shared" si="1"/>
        <v>1</v>
      </c>
      <c r="D6" s="62"/>
      <c r="E6" s="62"/>
      <c r="F6" s="62"/>
      <c r="G6" s="62"/>
      <c r="H6" s="62"/>
      <c r="I6" s="62"/>
      <c r="J6" s="62"/>
      <c r="K6" s="62"/>
      <c r="L6" s="62"/>
      <c r="M6" s="62"/>
    </row>
    <row r="7" spans="1:13" ht="21.4" customHeight="1" x14ac:dyDescent="0.25">
      <c r="A7" s="2" t="s">
        <v>105</v>
      </c>
      <c r="B7" s="62">
        <f t="shared" si="0"/>
        <v>0</v>
      </c>
      <c r="C7" s="65">
        <f t="shared" si="1"/>
        <v>1</v>
      </c>
      <c r="D7" s="62"/>
      <c r="E7" s="62"/>
      <c r="F7" s="62"/>
      <c r="G7" s="62"/>
      <c r="H7" s="62"/>
      <c r="I7" s="62"/>
      <c r="J7" s="62"/>
      <c r="K7" s="62"/>
      <c r="L7" s="62"/>
      <c r="M7" s="62"/>
    </row>
    <row r="8" spans="1:13" ht="23.25" customHeight="1" x14ac:dyDescent="0.25">
      <c r="A8" s="2" t="s">
        <v>106</v>
      </c>
      <c r="B8" s="62">
        <f t="shared" si="0"/>
        <v>0</v>
      </c>
      <c r="C8" s="65">
        <f t="shared" si="1"/>
        <v>1</v>
      </c>
      <c r="D8" s="62"/>
      <c r="E8" s="62"/>
      <c r="F8" s="62"/>
      <c r="G8" s="62"/>
      <c r="H8" s="62"/>
      <c r="I8" s="62"/>
      <c r="J8" s="62"/>
      <c r="K8" s="62"/>
      <c r="L8" s="62"/>
      <c r="M8" s="62"/>
    </row>
    <row r="9" spans="1:13" ht="22.7" customHeight="1" x14ac:dyDescent="0.25">
      <c r="A9" s="2" t="s">
        <v>8</v>
      </c>
      <c r="B9" s="62">
        <f t="shared" si="0"/>
        <v>0</v>
      </c>
      <c r="C9" s="65">
        <f t="shared" si="1"/>
        <v>1</v>
      </c>
      <c r="D9" s="62"/>
      <c r="E9" s="62"/>
      <c r="F9" s="62"/>
      <c r="G9" s="62"/>
      <c r="H9" s="62"/>
      <c r="I9" s="62"/>
      <c r="J9" s="62"/>
      <c r="K9" s="62"/>
      <c r="L9" s="62"/>
      <c r="M9" s="62"/>
    </row>
    <row r="10" spans="1:13" ht="25.15" customHeight="1" x14ac:dyDescent="0.25">
      <c r="A10" s="2" t="s">
        <v>102</v>
      </c>
      <c r="B10" s="62">
        <f t="shared" si="0"/>
        <v>0</v>
      </c>
      <c r="C10" s="65">
        <f t="shared" si="1"/>
        <v>1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</row>
    <row r="11" spans="1:13" ht="18" x14ac:dyDescent="0.25">
      <c r="A11" s="2" t="s">
        <v>103</v>
      </c>
      <c r="B11" s="62">
        <f t="shared" si="0"/>
        <v>0</v>
      </c>
      <c r="C11" s="65">
        <f t="shared" si="1"/>
        <v>1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ht="18" x14ac:dyDescent="0.25">
      <c r="A12" s="2" t="s">
        <v>65</v>
      </c>
      <c r="B12" s="62">
        <f t="shared" si="0"/>
        <v>0</v>
      </c>
      <c r="C12" s="65">
        <f t="shared" si="1"/>
        <v>1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</row>
    <row r="13" spans="1:13" ht="18" x14ac:dyDescent="0.25">
      <c r="A13" s="2" t="s">
        <v>5</v>
      </c>
      <c r="B13" s="62">
        <f t="shared" si="0"/>
        <v>0</v>
      </c>
      <c r="C13" s="65">
        <f t="shared" si="1"/>
        <v>1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</row>
    <row r="14" spans="1:13" x14ac:dyDescent="0.25">
      <c r="A14" s="62"/>
      <c r="B14" s="62">
        <f t="shared" si="0"/>
        <v>0</v>
      </c>
      <c r="C14" s="65">
        <f t="shared" si="1"/>
        <v>1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</row>
  </sheetData>
  <mergeCells count="1">
    <mergeCell ref="A1:M1"/>
  </mergeCells>
  <conditionalFormatting sqref="A5:A10 A12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{0221DBCF-8557-42D1-B6C3-FCF442905A5C}</x14:id>
        </ext>
      </extLst>
    </cfRule>
  </conditionalFormatting>
  <conditionalFormatting sqref="A5:A13 A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{B9ECD58C-CDC9-4E4C-8D53-63F7A7A6EBF5}</x14:id>
        </ext>
      </extLst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Roman,Standard"&amp;12&amp;A</oddHeader>
    <oddFooter>&amp;C&amp;"Times New Roman,Standard"&amp;12Seite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21DBCF-8557-42D1-B6C3-FCF442905A5C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A5:A10 A12:A13</xm:sqref>
        </x14:conditionalFormatting>
        <x14:conditionalFormatting xmlns:xm="http://schemas.microsoft.com/office/excel/2006/main">
          <x14:cfRule type="dataBar" id="{B9ECD58C-CDC9-4E4C-8D53-63F7A7A6EBF5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A5:A13 A3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"/>
  <sheetViews>
    <sheetView workbookViewId="0">
      <selection activeCell="A62" sqref="A62"/>
    </sheetView>
  </sheetViews>
  <sheetFormatPr baseColWidth="10" defaultRowHeight="15" x14ac:dyDescent="0.25"/>
  <cols>
    <col min="2" max="7" width="2.28515625" customWidth="1"/>
    <col min="8" max="8" width="60.5703125" customWidth="1"/>
  </cols>
  <sheetData>
    <row r="1" spans="1:10" ht="15.75" thickBot="1" x14ac:dyDescent="0.3">
      <c r="A1" s="69" t="s">
        <v>95</v>
      </c>
      <c r="B1" s="86" t="s">
        <v>96</v>
      </c>
      <c r="C1" s="87"/>
      <c r="D1" s="87"/>
      <c r="E1" s="87"/>
      <c r="F1" s="87"/>
      <c r="G1" s="88"/>
      <c r="H1" s="70" t="s">
        <v>97</v>
      </c>
      <c r="J1" s="71" t="s">
        <v>1</v>
      </c>
    </row>
    <row r="2" spans="1:10" ht="15.75" thickBot="1" x14ac:dyDescent="0.3">
      <c r="A2" s="69" t="s">
        <v>85</v>
      </c>
      <c r="B2" s="66"/>
      <c r="C2" s="67"/>
      <c r="D2" s="67"/>
      <c r="E2" s="67"/>
      <c r="F2" s="67"/>
      <c r="G2" s="68"/>
      <c r="H2" s="70"/>
      <c r="J2" s="71"/>
    </row>
    <row r="3" spans="1:10" ht="15.75" thickBot="1" x14ac:dyDescent="0.3">
      <c r="A3" s="69" t="s">
        <v>86</v>
      </c>
      <c r="B3" s="66"/>
      <c r="C3" s="67"/>
      <c r="D3" s="67"/>
      <c r="E3" s="67"/>
      <c r="F3" s="67"/>
      <c r="G3" s="68"/>
      <c r="H3" s="70"/>
      <c r="J3" s="71"/>
    </row>
    <row r="4" spans="1:10" ht="15.75" thickBot="1" x14ac:dyDescent="0.3">
      <c r="A4" s="69" t="s">
        <v>87</v>
      </c>
      <c r="B4" s="66"/>
      <c r="C4" s="67"/>
      <c r="D4" s="67"/>
      <c r="E4" s="67"/>
      <c r="F4" s="67"/>
      <c r="G4" s="68"/>
      <c r="H4" s="70"/>
      <c r="J4" s="71"/>
    </row>
    <row r="5" spans="1:10" ht="15.75" thickBot="1" x14ac:dyDescent="0.3">
      <c r="A5" s="69" t="s">
        <v>88</v>
      </c>
      <c r="B5" s="66"/>
      <c r="C5" s="67"/>
      <c r="D5" s="67"/>
      <c r="E5" s="67"/>
      <c r="F5" s="67"/>
      <c r="G5" s="68"/>
      <c r="H5" s="70"/>
      <c r="J5" s="71"/>
    </row>
    <row r="6" spans="1:10" ht="15.75" thickBot="1" x14ac:dyDescent="0.3">
      <c r="A6" s="69" t="s">
        <v>89</v>
      </c>
      <c r="B6" s="66"/>
      <c r="C6" s="67"/>
      <c r="D6" s="67"/>
      <c r="E6" s="67"/>
      <c r="F6" s="67"/>
      <c r="G6" s="68"/>
      <c r="H6" s="70"/>
      <c r="J6" s="71"/>
    </row>
    <row r="7" spans="1:10" ht="15.75" thickBot="1" x14ac:dyDescent="0.3">
      <c r="A7" s="69" t="s">
        <v>90</v>
      </c>
      <c r="B7" s="66"/>
      <c r="C7" s="67"/>
      <c r="D7" s="67"/>
      <c r="E7" s="67"/>
      <c r="F7" s="67"/>
      <c r="G7" s="68"/>
      <c r="H7" s="70"/>
      <c r="J7" s="71"/>
    </row>
    <row r="8" spans="1:10" ht="15.75" thickBot="1" x14ac:dyDescent="0.3">
      <c r="A8" s="69" t="s">
        <v>91</v>
      </c>
      <c r="B8" s="66"/>
      <c r="C8" s="67"/>
      <c r="D8" s="67"/>
      <c r="E8" s="67"/>
      <c r="F8" s="67"/>
      <c r="G8" s="68"/>
      <c r="H8" s="70"/>
      <c r="J8" s="71"/>
    </row>
    <row r="9" spans="1:10" ht="15.75" thickBot="1" x14ac:dyDescent="0.3">
      <c r="A9" s="69" t="s">
        <v>92</v>
      </c>
      <c r="B9" s="66"/>
      <c r="C9" s="67"/>
      <c r="D9" s="67"/>
      <c r="E9" s="67"/>
      <c r="F9" s="67"/>
      <c r="G9" s="68"/>
      <c r="H9" s="70"/>
      <c r="J9" s="71"/>
    </row>
    <row r="10" spans="1:10" ht="15.75" thickBot="1" x14ac:dyDescent="0.3">
      <c r="A10" s="69" t="s">
        <v>93</v>
      </c>
      <c r="B10" s="66"/>
      <c r="C10" s="67"/>
      <c r="D10" s="67"/>
      <c r="E10" s="67"/>
      <c r="F10" s="67"/>
      <c r="G10" s="68"/>
      <c r="H10" s="70"/>
      <c r="J10" s="71"/>
    </row>
  </sheetData>
  <mergeCells count="1">
    <mergeCell ref="B1:G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showGridLines="0" zoomScaleNormal="100" workbookViewId="0">
      <pane xSplit="1" topLeftCell="B1" activePane="topRight" state="frozen"/>
      <selection activeCell="A6" sqref="A6"/>
      <selection pane="topRight" activeCell="A3" sqref="A3:A13"/>
    </sheetView>
  </sheetViews>
  <sheetFormatPr baseColWidth="10" defaultColWidth="8.7109375" defaultRowHeight="15" x14ac:dyDescent="0.25"/>
  <cols>
    <col min="1" max="1" width="11.5703125" customWidth="1"/>
    <col min="2" max="4" width="8.28515625" customWidth="1"/>
    <col min="5" max="6" width="12.42578125" customWidth="1"/>
    <col min="7" max="9" width="8.28515625" customWidth="1"/>
    <col min="10" max="11" width="12.42578125" customWidth="1"/>
    <col min="12" max="14" width="8.28515625" customWidth="1"/>
    <col min="15" max="16" width="12.42578125" customWidth="1"/>
    <col min="17" max="19" width="8.28515625" customWidth="1"/>
    <col min="20" max="21" width="12.42578125" customWidth="1"/>
    <col min="22" max="24" width="8.28515625" customWidth="1"/>
    <col min="25" max="26" width="12.42578125" customWidth="1"/>
    <col min="27" max="29" width="8.28515625" customWidth="1"/>
    <col min="30" max="31" width="12.42578125" customWidth="1"/>
    <col min="32" max="34" width="8.28515625" customWidth="1"/>
    <col min="35" max="36" width="12.42578125" customWidth="1"/>
    <col min="37" max="39" width="8.28515625" customWidth="1"/>
    <col min="40" max="40" width="14.5703125" customWidth="1"/>
    <col min="41" max="42" width="12.42578125" customWidth="1"/>
    <col min="43" max="45" width="8.28515625" customWidth="1"/>
    <col min="46" max="47" width="12.42578125" customWidth="1"/>
    <col min="48" max="50" width="8.28515625" customWidth="1"/>
    <col min="51" max="52" width="12.42578125" customWidth="1"/>
    <col min="53" max="55" width="8.28515625" customWidth="1"/>
    <col min="56" max="57" width="12.42578125" customWidth="1"/>
    <col min="58" max="60" width="8.28515625" customWidth="1"/>
    <col min="61" max="62" width="12.42578125" customWidth="1"/>
    <col min="63" max="65" width="8.28515625" customWidth="1"/>
    <col min="66" max="66" width="12.42578125" customWidth="1"/>
    <col min="67" max="1025" width="8.28515625" customWidth="1"/>
  </cols>
  <sheetData>
    <row r="1" spans="1:8" ht="15.75" x14ac:dyDescent="0.25">
      <c r="A1" s="46"/>
      <c r="B1" s="73" t="s">
        <v>83</v>
      </c>
      <c r="C1" s="73"/>
      <c r="D1" s="73"/>
      <c r="E1" s="73"/>
      <c r="F1" s="73"/>
      <c r="G1" s="73"/>
    </row>
    <row r="2" spans="1:8" ht="18" x14ac:dyDescent="0.25">
      <c r="A2" s="2" t="s">
        <v>1</v>
      </c>
      <c r="B2" s="47" t="s">
        <v>59</v>
      </c>
      <c r="C2" s="4" t="s">
        <v>60</v>
      </c>
      <c r="D2" s="2" t="s">
        <v>61</v>
      </c>
      <c r="E2" s="2" t="s">
        <v>64</v>
      </c>
      <c r="F2" s="2" t="s">
        <v>63</v>
      </c>
      <c r="G2" s="48" t="s">
        <v>62</v>
      </c>
      <c r="H2" s="6"/>
    </row>
    <row r="3" spans="1:8" ht="18" x14ac:dyDescent="0.25">
      <c r="A3" s="2" t="s">
        <v>7</v>
      </c>
      <c r="B3" s="63"/>
      <c r="C3" s="2"/>
      <c r="D3" s="2"/>
      <c r="E3" s="50">
        <f>RECHNEN!O55</f>
        <v>0</v>
      </c>
      <c r="F3" s="49">
        <f t="shared" ref="F3:F13" si="0">SUM(B3,C3/10,D3/10,E3)</f>
        <v>0</v>
      </c>
      <c r="G3" s="48">
        <f>IF(ISERROR(VLOOKUP($A3,RECHNEN!$A$18:$I$33,9,0))=1,"",VLOOKUP($A3,RECHNEN!$A$18:$I$33,9,0))</f>
        <v>35</v>
      </c>
    </row>
    <row r="4" spans="1:8" ht="18" x14ac:dyDescent="0.25">
      <c r="A4" s="2" t="s">
        <v>6</v>
      </c>
      <c r="B4" s="47"/>
      <c r="C4" s="4"/>
      <c r="D4" s="2"/>
      <c r="E4" s="50">
        <f>RECHNEN!O56</f>
        <v>0</v>
      </c>
      <c r="F4" s="49">
        <f>SUM(B4,C4/10,D4/10,E4)</f>
        <v>0</v>
      </c>
      <c r="G4" s="48">
        <f>IF(ISERROR(VLOOKUP($A4,RECHNEN!$A$18:$I$33,9,0))=1,"",VLOOKUP($A4,RECHNEN!$A$18:$I$33,9,0))</f>
        <v>36</v>
      </c>
    </row>
    <row r="5" spans="1:8" ht="18" x14ac:dyDescent="0.25">
      <c r="A5" s="2" t="s">
        <v>17</v>
      </c>
      <c r="B5" s="47"/>
      <c r="C5" s="4"/>
      <c r="D5" s="2"/>
      <c r="E5" s="50">
        <f>RECHNEN!O57</f>
        <v>0</v>
      </c>
      <c r="F5" s="49">
        <f t="shared" si="0"/>
        <v>0</v>
      </c>
      <c r="G5" s="48">
        <f>IF(ISERROR(VLOOKUP($A5,RECHNEN!$A$18:$I$33,9,0))=1,"",VLOOKUP($A5,RECHNEN!$A$18:$I$33,9,0))</f>
        <v>36</v>
      </c>
    </row>
    <row r="6" spans="1:8" ht="18" x14ac:dyDescent="0.25">
      <c r="A6" s="2" t="s">
        <v>9</v>
      </c>
      <c r="B6" s="47"/>
      <c r="C6" s="4"/>
      <c r="D6" s="2"/>
      <c r="E6" s="50">
        <f>RECHNEN!O58</f>
        <v>0</v>
      </c>
      <c r="F6" s="49">
        <f t="shared" si="0"/>
        <v>0</v>
      </c>
      <c r="G6" s="48">
        <f>IF(ISERROR(VLOOKUP($A6,RECHNEN!$A$18:$I$33,9,0))=1,"",VLOOKUP($A6,RECHNEN!$A$18:$I$33,9,0))</f>
        <v>36</v>
      </c>
    </row>
    <row r="7" spans="1:8" ht="18" x14ac:dyDescent="0.25">
      <c r="A7" s="2" t="s">
        <v>105</v>
      </c>
      <c r="B7" s="47"/>
      <c r="C7" s="4"/>
      <c r="D7" s="2"/>
      <c r="E7" s="50">
        <f>RECHNEN!O59</f>
        <v>0</v>
      </c>
      <c r="F7" s="49">
        <f t="shared" si="0"/>
        <v>0</v>
      </c>
      <c r="G7" s="48">
        <f>IF(ISERROR(VLOOKUP($A7,RECHNEN!$A$18:$I$33,9,0))=1,"",VLOOKUP($A7,RECHNEN!$A$18:$I$33,9,0))</f>
        <v>36</v>
      </c>
    </row>
    <row r="8" spans="1:8" ht="18" x14ac:dyDescent="0.25">
      <c r="A8" s="2" t="s">
        <v>106</v>
      </c>
      <c r="B8" s="47"/>
      <c r="C8" s="4"/>
      <c r="D8" s="2"/>
      <c r="E8" s="50">
        <f>RECHNEN!O60</f>
        <v>0</v>
      </c>
      <c r="F8" s="49">
        <f t="shared" si="0"/>
        <v>0</v>
      </c>
      <c r="G8" s="48">
        <f>IF(ISERROR(VLOOKUP($A8,RECHNEN!$A$18:$I$33,9,0))=1,"",VLOOKUP($A8,RECHNEN!$A$18:$I$33,9,0))</f>
        <v>36</v>
      </c>
    </row>
    <row r="9" spans="1:8" ht="18" x14ac:dyDescent="0.25">
      <c r="A9" s="2" t="s">
        <v>8</v>
      </c>
      <c r="B9" s="47"/>
      <c r="C9" s="4"/>
      <c r="D9" s="2"/>
      <c r="E9" s="50">
        <f>RECHNEN!O61</f>
        <v>0</v>
      </c>
      <c r="F9" s="49">
        <f t="shared" si="0"/>
        <v>0</v>
      </c>
      <c r="G9" s="48">
        <f>IF(ISERROR(VLOOKUP($A9,RECHNEN!$A$18:$I$33,9,0))=1,"",VLOOKUP($A9,RECHNEN!$A$18:$I$33,9,0))</f>
        <v>36</v>
      </c>
    </row>
    <row r="10" spans="1:8" ht="18" x14ac:dyDescent="0.25">
      <c r="A10" s="2" t="s">
        <v>102</v>
      </c>
      <c r="B10" s="47"/>
      <c r="C10" s="4"/>
      <c r="D10" s="2"/>
      <c r="E10" s="50">
        <f>RECHNEN!O62</f>
        <v>0</v>
      </c>
      <c r="F10" s="49">
        <f t="shared" si="0"/>
        <v>0</v>
      </c>
      <c r="G10" s="48">
        <f>IF(ISERROR(VLOOKUP($A10,RECHNEN!$A$18:$I$33,9,0))=1,"",VLOOKUP($A10,RECHNEN!$A$18:$I$33,9,0))</f>
        <v>36</v>
      </c>
    </row>
    <row r="11" spans="1:8" ht="18" x14ac:dyDescent="0.25">
      <c r="A11" s="2" t="s">
        <v>103</v>
      </c>
      <c r="B11" s="47"/>
      <c r="C11" s="4"/>
      <c r="D11" s="2"/>
      <c r="E11" s="50">
        <f>RECHNEN!O63</f>
        <v>0</v>
      </c>
      <c r="F11" s="49">
        <f t="shared" si="0"/>
        <v>0</v>
      </c>
      <c r="G11" s="48">
        <f>IF(ISERROR(VLOOKUP($A11,RECHNEN!$A$18:$I$33,9,0))=1,"",VLOOKUP($A11,RECHNEN!$A$18:$I$33,9,0))</f>
        <v>36</v>
      </c>
    </row>
    <row r="12" spans="1:8" ht="18" x14ac:dyDescent="0.25">
      <c r="A12" s="2" t="s">
        <v>65</v>
      </c>
      <c r="B12" s="47"/>
      <c r="C12" s="4"/>
      <c r="D12" s="2"/>
      <c r="E12" s="50">
        <f>RECHNEN!O64</f>
        <v>0</v>
      </c>
      <c r="F12" s="49">
        <f t="shared" si="0"/>
        <v>0</v>
      </c>
      <c r="G12" s="48">
        <f>IF(ISERROR(VLOOKUP($A12,RECHNEN!$A$18:$I$33,9,0))=1,"",VLOOKUP($A12,RECHNEN!$A$18:$I$33,9,0))</f>
        <v>36</v>
      </c>
    </row>
    <row r="13" spans="1:8" ht="18" x14ac:dyDescent="0.25">
      <c r="A13" s="2" t="s">
        <v>5</v>
      </c>
      <c r="B13" s="47"/>
      <c r="C13" s="4"/>
      <c r="D13" s="2"/>
      <c r="E13" s="50">
        <f>RECHNEN!O65</f>
        <v>0</v>
      </c>
      <c r="F13" s="49">
        <f t="shared" si="0"/>
        <v>0</v>
      </c>
      <c r="G13" s="48">
        <f>IF(ISERROR(VLOOKUP($A13,RECHNEN!$A$18:$I$33,9,0))=1,"",VLOOKUP($A13,RECHNEN!$A$18:$I$33,9,0))</f>
        <v>36</v>
      </c>
    </row>
    <row r="14" spans="1:8" ht="18" x14ac:dyDescent="0.25">
      <c r="A14" s="2"/>
      <c r="B14" s="47"/>
      <c r="C14" s="4"/>
      <c r="D14" s="2"/>
      <c r="E14" s="50">
        <f>RECHNEN!O66</f>
        <v>3</v>
      </c>
      <c r="F14" s="49">
        <f t="shared" ref="F14:F15" si="1">SUM(B14,C14/10,D14/10,E14)</f>
        <v>3</v>
      </c>
      <c r="G14" s="48" t="e">
        <f>IF(ISERROR(VLOOKUP($A14,RECHNEN!$A$18:$I$33,9,0))=1,"",VLOOKUP($A14,RECHNEN!$A$18:$I$33,9,0))</f>
        <v>#N/A</v>
      </c>
    </row>
    <row r="15" spans="1:8" ht="18" x14ac:dyDescent="0.25">
      <c r="A15" s="2"/>
      <c r="B15" s="47"/>
      <c r="C15" s="4"/>
      <c r="D15" s="2"/>
      <c r="E15" s="50">
        <f>RECHNEN!O67</f>
        <v>3</v>
      </c>
      <c r="F15" s="49">
        <f t="shared" si="1"/>
        <v>3</v>
      </c>
      <c r="G15" s="48" t="e">
        <f>IF(ISERROR(VLOOKUP($A15,RECHNEN!$A$18:$I$33,9,0))=1,"",VLOOKUP($A15,RECHNEN!$A$18:$I$33,9,0))</f>
        <v>#N/A</v>
      </c>
    </row>
    <row r="16" spans="1:8" ht="18" x14ac:dyDescent="0.25">
      <c r="A16" s="2"/>
      <c r="B16" s="47"/>
      <c r="C16" s="4"/>
      <c r="D16" s="2"/>
      <c r="E16" s="50"/>
      <c r="F16" s="49"/>
      <c r="G16" s="48"/>
    </row>
    <row r="17" spans="1:7" ht="18" x14ac:dyDescent="0.25">
      <c r="A17" s="2"/>
      <c r="B17" s="47"/>
      <c r="C17" s="4"/>
      <c r="D17" s="2"/>
      <c r="E17" s="2"/>
      <c r="F17" s="2"/>
      <c r="G17" s="48"/>
    </row>
    <row r="18" spans="1:7" ht="18.75" thickBot="1" x14ac:dyDescent="0.3">
      <c r="A18" s="2"/>
      <c r="B18" s="51"/>
      <c r="C18" s="52"/>
      <c r="D18" s="53"/>
      <c r="E18" s="53"/>
      <c r="F18" s="53"/>
      <c r="G18" s="54"/>
    </row>
    <row r="19" spans="1:7" ht="14.85" customHeight="1" x14ac:dyDescent="0.25">
      <c r="B19" s="72" t="s">
        <v>82</v>
      </c>
      <c r="C19" s="72"/>
      <c r="D19" s="72"/>
      <c r="E19" s="60"/>
      <c r="F19" s="55">
        <f>SUM(F3:F16)</f>
        <v>6</v>
      </c>
    </row>
    <row r="20" spans="1:7" x14ac:dyDescent="0.25">
      <c r="B20" s="56"/>
      <c r="F20" s="56"/>
    </row>
  </sheetData>
  <mergeCells count="2">
    <mergeCell ref="B19:D19"/>
    <mergeCell ref="B1:G1"/>
  </mergeCells>
  <conditionalFormatting sqref="B17:F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{D3D42262-74B0-480C-9442-658FCD52C65C}</x14:id>
        </ext>
      </extLst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Roman,Standard"&amp;12&amp;A</oddHeader>
    <oddFooter>&amp;C&amp;"Times New Roman,Standard"&amp;12Seite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D42262-74B0-480C-9442-658FCD52C65C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B17:F18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0"/>
  <sheetViews>
    <sheetView topLeftCell="A16" zoomScaleNormal="100" workbookViewId="0">
      <selection activeCell="A30" sqref="A30"/>
    </sheetView>
  </sheetViews>
  <sheetFormatPr baseColWidth="10" defaultColWidth="8.7109375" defaultRowHeight="15" x14ac:dyDescent="0.25"/>
  <cols>
    <col min="1" max="6" width="8.28515625" customWidth="1"/>
    <col min="7" max="7" width="13" customWidth="1"/>
    <col min="8" max="1025" width="8.28515625" customWidth="1"/>
  </cols>
  <sheetData>
    <row r="1" spans="1:28" x14ac:dyDescent="0.25">
      <c r="A1" s="61">
        <f t="shared" ref="A1:A9" si="0">_xlfn.NUMBERVALUE(CONCATENATE(E1,F1,G1))</f>
        <v>0</v>
      </c>
      <c r="B1">
        <f>_xlfn.NUMBERVALUE(IF((CONCATENATE(I1,J1,K1))=0,999,(CONCATENATE(I1,J1,K1))))</f>
        <v>0</v>
      </c>
      <c r="C1">
        <f>IF('17 und 4'!K2&gt;21,999,ABS('17 und 4'!K2-21))</f>
        <v>21</v>
      </c>
      <c r="E1">
        <f>IF('Große + Kleine Hausnummer'!B3="",0,('Große + Kleine Hausnummer'!B3))</f>
        <v>0</v>
      </c>
      <c r="F1">
        <f>IF('Große + Kleine Hausnummer'!C3="",0,('Große + Kleine Hausnummer'!C3))</f>
        <v>0</v>
      </c>
      <c r="G1">
        <f>IF('Große + Kleine Hausnummer'!D3="",0,('Große + Kleine Hausnummer'!D3))</f>
        <v>0</v>
      </c>
      <c r="I1">
        <f>IF('Große + Kleine Hausnummer'!F3="",0,('Große + Kleine Hausnummer'!F3))</f>
        <v>0</v>
      </c>
      <c r="J1">
        <f>IF('Große + Kleine Hausnummer'!G3="",0,('Große + Kleine Hausnummer'!G3))</f>
        <v>0</v>
      </c>
      <c r="K1">
        <f>IF('Große + Kleine Hausnummer'!H3="",0,('Große + Kleine Hausnummer'!H3))</f>
        <v>0</v>
      </c>
      <c r="Q1">
        <f>Kegelbuch!F3</f>
        <v>0</v>
      </c>
      <c r="R1" t="e">
        <f>Kegelbuch!#REF!</f>
        <v>#REF!</v>
      </c>
      <c r="S1" t="e">
        <f>Kegelbuch!#REF!</f>
        <v>#REF!</v>
      </c>
      <c r="T1" t="e">
        <f>Kegelbuch!#REF!</f>
        <v>#REF!</v>
      </c>
      <c r="U1" t="e">
        <f>Kegelbuch!#REF!</f>
        <v>#REF!</v>
      </c>
      <c r="V1" t="e">
        <f>Kegelbuch!#REF!</f>
        <v>#REF!</v>
      </c>
      <c r="W1" t="e">
        <f>Kegelbuch!#REF!</f>
        <v>#REF!</v>
      </c>
      <c r="X1" t="e">
        <f>Kegelbuch!#REF!</f>
        <v>#REF!</v>
      </c>
      <c r="Y1" t="e">
        <f>Kegelbuch!#REF!</f>
        <v>#REF!</v>
      </c>
      <c r="Z1" t="e">
        <f>Kegelbuch!#REF!</f>
        <v>#REF!</v>
      </c>
      <c r="AA1" t="e">
        <f>Kegelbuch!#REF!</f>
        <v>#REF!</v>
      </c>
      <c r="AB1" t="e">
        <f>Kegelbuch!#REF!</f>
        <v>#REF!</v>
      </c>
    </row>
    <row r="2" spans="1:28" x14ac:dyDescent="0.25">
      <c r="A2" s="61">
        <f t="shared" si="0"/>
        <v>0</v>
      </c>
      <c r="B2">
        <f t="shared" ref="B2:B15" si="1">_xlfn.NUMBERVALUE(IF((CONCATENATE(I2,J2,K2))=0,999,(CONCATENATE(I2,J2,K2))))</f>
        <v>0</v>
      </c>
      <c r="C2">
        <f>IF('17 und 4'!K3&gt;21,999,ABS('17 und 4'!K3-21))</f>
        <v>21</v>
      </c>
      <c r="E2">
        <f>IF('Große + Kleine Hausnummer'!B4="",0,('Große + Kleine Hausnummer'!B4))</f>
        <v>0</v>
      </c>
      <c r="F2">
        <f>IF('Große + Kleine Hausnummer'!C4="",0,('Große + Kleine Hausnummer'!C4))</f>
        <v>0</v>
      </c>
      <c r="G2">
        <f>IF('Große + Kleine Hausnummer'!D4="",0,('Große + Kleine Hausnummer'!D4))</f>
        <v>0</v>
      </c>
      <c r="I2">
        <f>IF('Große + Kleine Hausnummer'!F4="",0,('Große + Kleine Hausnummer'!F4))</f>
        <v>0</v>
      </c>
      <c r="J2">
        <f>IF('Große + Kleine Hausnummer'!G4="",0,('Große + Kleine Hausnummer'!G4))</f>
        <v>0</v>
      </c>
      <c r="K2">
        <f>IF('Große + Kleine Hausnummer'!H4="",0,('Große + Kleine Hausnummer'!H4))</f>
        <v>0</v>
      </c>
      <c r="Q2">
        <f>Kegelbuch!F4</f>
        <v>0</v>
      </c>
      <c r="R2" t="e">
        <f>Kegelbuch!#REF!</f>
        <v>#REF!</v>
      </c>
      <c r="S2" t="e">
        <f>Kegelbuch!#REF!</f>
        <v>#REF!</v>
      </c>
      <c r="T2" t="e">
        <f>Kegelbuch!#REF!</f>
        <v>#REF!</v>
      </c>
      <c r="U2" t="e">
        <f>Kegelbuch!#REF!</f>
        <v>#REF!</v>
      </c>
      <c r="V2" t="e">
        <f>Kegelbuch!#REF!</f>
        <v>#REF!</v>
      </c>
      <c r="W2" t="e">
        <f>Kegelbuch!#REF!</f>
        <v>#REF!</v>
      </c>
      <c r="X2" t="e">
        <f>Kegelbuch!#REF!</f>
        <v>#REF!</v>
      </c>
      <c r="Y2" t="e">
        <f>Kegelbuch!#REF!</f>
        <v>#REF!</v>
      </c>
      <c r="Z2" t="e">
        <f>Kegelbuch!#REF!</f>
        <v>#REF!</v>
      </c>
      <c r="AA2" t="e">
        <f>Kegelbuch!#REF!</f>
        <v>#REF!</v>
      </c>
      <c r="AB2" t="e">
        <f>Kegelbuch!#REF!</f>
        <v>#REF!</v>
      </c>
    </row>
    <row r="3" spans="1:28" x14ac:dyDescent="0.25">
      <c r="A3" s="61">
        <f t="shared" si="0"/>
        <v>0</v>
      </c>
      <c r="B3">
        <f t="shared" si="1"/>
        <v>0</v>
      </c>
      <c r="C3">
        <f>IF('17 und 4'!K4&gt;21,999,ABS('17 und 4'!K4-21))</f>
        <v>21</v>
      </c>
      <c r="E3">
        <f>IF('Große + Kleine Hausnummer'!B5="",0,('Große + Kleine Hausnummer'!B5))</f>
        <v>0</v>
      </c>
      <c r="F3">
        <f>IF('Große + Kleine Hausnummer'!C5="",0,('Große + Kleine Hausnummer'!C5))</f>
        <v>0</v>
      </c>
      <c r="G3">
        <f>IF('Große + Kleine Hausnummer'!D5="",0,('Große + Kleine Hausnummer'!D5))</f>
        <v>0</v>
      </c>
      <c r="I3">
        <f>IF('Große + Kleine Hausnummer'!F5="",0,('Große + Kleine Hausnummer'!F5))</f>
        <v>0</v>
      </c>
      <c r="J3">
        <f>IF('Große + Kleine Hausnummer'!G5="",0,('Große + Kleine Hausnummer'!G5))</f>
        <v>0</v>
      </c>
      <c r="K3">
        <f>IF('Große + Kleine Hausnummer'!H5="",0,('Große + Kleine Hausnummer'!H5))</f>
        <v>0</v>
      </c>
      <c r="Q3">
        <f>Kegelbuch!F5</f>
        <v>0</v>
      </c>
      <c r="R3" t="e">
        <f>Kegelbuch!#REF!</f>
        <v>#REF!</v>
      </c>
      <c r="S3" t="e">
        <f>Kegelbuch!#REF!</f>
        <v>#REF!</v>
      </c>
      <c r="T3" t="e">
        <f>Kegelbuch!#REF!</f>
        <v>#REF!</v>
      </c>
      <c r="U3" t="e">
        <f>Kegelbuch!#REF!</f>
        <v>#REF!</v>
      </c>
      <c r="V3" t="e">
        <f>Kegelbuch!#REF!</f>
        <v>#REF!</v>
      </c>
      <c r="W3" t="e">
        <f>Kegelbuch!#REF!</f>
        <v>#REF!</v>
      </c>
      <c r="X3" t="e">
        <f>Kegelbuch!#REF!</f>
        <v>#REF!</v>
      </c>
      <c r="Y3" t="e">
        <f>Kegelbuch!#REF!</f>
        <v>#REF!</v>
      </c>
      <c r="Z3" t="e">
        <f>Kegelbuch!#REF!</f>
        <v>#REF!</v>
      </c>
      <c r="AA3" t="e">
        <f>Kegelbuch!#REF!</f>
        <v>#REF!</v>
      </c>
      <c r="AB3" t="e">
        <f>Kegelbuch!#REF!</f>
        <v>#REF!</v>
      </c>
    </row>
    <row r="4" spans="1:28" x14ac:dyDescent="0.25">
      <c r="A4" s="61">
        <f t="shared" si="0"/>
        <v>0</v>
      </c>
      <c r="B4">
        <f t="shared" si="1"/>
        <v>0</v>
      </c>
      <c r="C4">
        <f>IF('17 und 4'!K5&gt;21,999,ABS('17 und 4'!K5-21))</f>
        <v>21</v>
      </c>
      <c r="E4">
        <f>IF('Große + Kleine Hausnummer'!B6="",0,('Große + Kleine Hausnummer'!B6))</f>
        <v>0</v>
      </c>
      <c r="F4">
        <f>IF('Große + Kleine Hausnummer'!C6="",0,('Große + Kleine Hausnummer'!C6))</f>
        <v>0</v>
      </c>
      <c r="G4">
        <f>IF('Große + Kleine Hausnummer'!D6="",0,('Große + Kleine Hausnummer'!D6))</f>
        <v>0</v>
      </c>
      <c r="I4">
        <f>IF('Große + Kleine Hausnummer'!F6="",0,('Große + Kleine Hausnummer'!F6))</f>
        <v>0</v>
      </c>
      <c r="J4">
        <f>IF('Große + Kleine Hausnummer'!G6="",0,('Große + Kleine Hausnummer'!G6))</f>
        <v>0</v>
      </c>
      <c r="K4">
        <f>IF('Große + Kleine Hausnummer'!H6="",0,('Große + Kleine Hausnummer'!H6))</f>
        <v>0</v>
      </c>
      <c r="Q4">
        <f>Kegelbuch!F6</f>
        <v>0</v>
      </c>
      <c r="R4" t="e">
        <f>Kegelbuch!#REF!</f>
        <v>#REF!</v>
      </c>
      <c r="S4" t="e">
        <f>Kegelbuch!#REF!</f>
        <v>#REF!</v>
      </c>
      <c r="T4" t="e">
        <f>Kegelbuch!#REF!</f>
        <v>#REF!</v>
      </c>
      <c r="U4" t="e">
        <f>Kegelbuch!#REF!</f>
        <v>#REF!</v>
      </c>
      <c r="V4" t="e">
        <f>Kegelbuch!#REF!</f>
        <v>#REF!</v>
      </c>
      <c r="W4" t="e">
        <f>Kegelbuch!#REF!</f>
        <v>#REF!</v>
      </c>
      <c r="X4" t="e">
        <f>Kegelbuch!#REF!</f>
        <v>#REF!</v>
      </c>
      <c r="Y4" t="e">
        <f>Kegelbuch!#REF!</f>
        <v>#REF!</v>
      </c>
      <c r="Z4" t="e">
        <f>Kegelbuch!#REF!</f>
        <v>#REF!</v>
      </c>
      <c r="AA4" t="e">
        <f>Kegelbuch!#REF!</f>
        <v>#REF!</v>
      </c>
      <c r="AB4" t="e">
        <f>Kegelbuch!#REF!</f>
        <v>#REF!</v>
      </c>
    </row>
    <row r="5" spans="1:28" x14ac:dyDescent="0.25">
      <c r="A5" s="61">
        <f t="shared" si="0"/>
        <v>0</v>
      </c>
      <c r="B5">
        <f t="shared" si="1"/>
        <v>0</v>
      </c>
      <c r="C5">
        <f>IF('17 und 4'!K6&gt;21,999,ABS('17 und 4'!K6-21))</f>
        <v>21</v>
      </c>
      <c r="E5">
        <f>IF('Große + Kleine Hausnummer'!B7="",0,('Große + Kleine Hausnummer'!B7))</f>
        <v>0</v>
      </c>
      <c r="F5">
        <f>IF('Große + Kleine Hausnummer'!C7="",0,('Große + Kleine Hausnummer'!C7))</f>
        <v>0</v>
      </c>
      <c r="G5">
        <f>IF('Große + Kleine Hausnummer'!D7="",0,('Große + Kleine Hausnummer'!D7))</f>
        <v>0</v>
      </c>
      <c r="I5">
        <f>IF('Große + Kleine Hausnummer'!F7="",0,('Große + Kleine Hausnummer'!F7))</f>
        <v>0</v>
      </c>
      <c r="J5">
        <f>IF('Große + Kleine Hausnummer'!G7="",0,('Große + Kleine Hausnummer'!G7))</f>
        <v>0</v>
      </c>
      <c r="K5">
        <f>IF('Große + Kleine Hausnummer'!H7="",0,('Große + Kleine Hausnummer'!H7))</f>
        <v>0</v>
      </c>
      <c r="Q5">
        <f>Kegelbuch!F7</f>
        <v>0</v>
      </c>
      <c r="R5" t="e">
        <f>Kegelbuch!#REF!</f>
        <v>#REF!</v>
      </c>
      <c r="S5" t="e">
        <f>Kegelbuch!#REF!</f>
        <v>#REF!</v>
      </c>
      <c r="T5" t="e">
        <f>Kegelbuch!#REF!</f>
        <v>#REF!</v>
      </c>
      <c r="U5" t="e">
        <f>Kegelbuch!#REF!</f>
        <v>#REF!</v>
      </c>
      <c r="V5" t="e">
        <f>Kegelbuch!#REF!</f>
        <v>#REF!</v>
      </c>
      <c r="W5" t="e">
        <f>Kegelbuch!#REF!</f>
        <v>#REF!</v>
      </c>
      <c r="X5" t="e">
        <f>Kegelbuch!#REF!</f>
        <v>#REF!</v>
      </c>
      <c r="Y5" t="e">
        <f>Kegelbuch!#REF!</f>
        <v>#REF!</v>
      </c>
      <c r="Z5" t="e">
        <f>Kegelbuch!#REF!</f>
        <v>#REF!</v>
      </c>
      <c r="AA5" t="e">
        <f>Kegelbuch!#REF!</f>
        <v>#REF!</v>
      </c>
      <c r="AB5" t="e">
        <f>Kegelbuch!#REF!</f>
        <v>#REF!</v>
      </c>
    </row>
    <row r="6" spans="1:28" x14ac:dyDescent="0.25">
      <c r="A6" s="61">
        <f t="shared" si="0"/>
        <v>0</v>
      </c>
      <c r="B6">
        <f t="shared" si="1"/>
        <v>0</v>
      </c>
      <c r="C6">
        <f>IF('17 und 4'!K7&gt;21,999,ABS('17 und 4'!K7-21))</f>
        <v>21</v>
      </c>
      <c r="E6">
        <f>IF('Große + Kleine Hausnummer'!B8="",0,('Große + Kleine Hausnummer'!B8))</f>
        <v>0</v>
      </c>
      <c r="F6">
        <f>IF('Große + Kleine Hausnummer'!C8="",0,('Große + Kleine Hausnummer'!C8))</f>
        <v>0</v>
      </c>
      <c r="G6">
        <f>IF('Große + Kleine Hausnummer'!D8="",0,('Große + Kleine Hausnummer'!D8))</f>
        <v>0</v>
      </c>
      <c r="I6">
        <f>IF('Große + Kleine Hausnummer'!F8="",0,('Große + Kleine Hausnummer'!F8))</f>
        <v>0</v>
      </c>
      <c r="J6">
        <f>IF('Große + Kleine Hausnummer'!G8="",0,('Große + Kleine Hausnummer'!G8))</f>
        <v>0</v>
      </c>
      <c r="K6">
        <f>IF('Große + Kleine Hausnummer'!H8="",0,('Große + Kleine Hausnummer'!H8))</f>
        <v>0</v>
      </c>
      <c r="Q6">
        <f>Kegelbuch!F8</f>
        <v>0</v>
      </c>
      <c r="R6" t="e">
        <f>Kegelbuch!#REF!</f>
        <v>#REF!</v>
      </c>
      <c r="S6" t="e">
        <f>Kegelbuch!#REF!</f>
        <v>#REF!</v>
      </c>
      <c r="T6" t="e">
        <f>Kegelbuch!#REF!</f>
        <v>#REF!</v>
      </c>
      <c r="U6" t="e">
        <f>Kegelbuch!#REF!</f>
        <v>#REF!</v>
      </c>
      <c r="V6" t="e">
        <f>Kegelbuch!#REF!</f>
        <v>#REF!</v>
      </c>
      <c r="W6" t="e">
        <f>Kegelbuch!#REF!</f>
        <v>#REF!</v>
      </c>
      <c r="X6" t="e">
        <f>Kegelbuch!#REF!</f>
        <v>#REF!</v>
      </c>
      <c r="Y6" t="e">
        <f>Kegelbuch!#REF!</f>
        <v>#REF!</v>
      </c>
      <c r="Z6" t="e">
        <f>Kegelbuch!#REF!</f>
        <v>#REF!</v>
      </c>
      <c r="AA6" t="e">
        <f>Kegelbuch!#REF!</f>
        <v>#REF!</v>
      </c>
      <c r="AB6" t="e">
        <f>Kegelbuch!#REF!</f>
        <v>#REF!</v>
      </c>
    </row>
    <row r="7" spans="1:28" x14ac:dyDescent="0.25">
      <c r="A7" s="61">
        <f t="shared" si="0"/>
        <v>0</v>
      </c>
      <c r="B7">
        <f t="shared" si="1"/>
        <v>0</v>
      </c>
      <c r="C7">
        <f>IF('17 und 4'!K8&gt;21,999,ABS('17 und 4'!K8-21))</f>
        <v>21</v>
      </c>
      <c r="E7">
        <f>IF('Große + Kleine Hausnummer'!B9="",0,('Große + Kleine Hausnummer'!B9))</f>
        <v>0</v>
      </c>
      <c r="F7">
        <f>IF('Große + Kleine Hausnummer'!C9="",0,('Große + Kleine Hausnummer'!C9))</f>
        <v>0</v>
      </c>
      <c r="G7">
        <f>IF('Große + Kleine Hausnummer'!D9="",0,('Große + Kleine Hausnummer'!D9))</f>
        <v>0</v>
      </c>
      <c r="I7">
        <f>IF('Große + Kleine Hausnummer'!F9="",0,('Große + Kleine Hausnummer'!F9))</f>
        <v>0</v>
      </c>
      <c r="J7">
        <f>IF('Große + Kleine Hausnummer'!G9="",0,('Große + Kleine Hausnummer'!G9))</f>
        <v>0</v>
      </c>
      <c r="K7">
        <f>IF('Große + Kleine Hausnummer'!H9="",0,('Große + Kleine Hausnummer'!H9))</f>
        <v>0</v>
      </c>
      <c r="Q7">
        <f>Kegelbuch!F9</f>
        <v>0</v>
      </c>
      <c r="R7" t="e">
        <f>Kegelbuch!#REF!</f>
        <v>#REF!</v>
      </c>
      <c r="S7" t="e">
        <f>Kegelbuch!#REF!</f>
        <v>#REF!</v>
      </c>
      <c r="T7" t="e">
        <f>Kegelbuch!#REF!</f>
        <v>#REF!</v>
      </c>
      <c r="U7" t="e">
        <f>Kegelbuch!#REF!</f>
        <v>#REF!</v>
      </c>
      <c r="V7" t="e">
        <f>Kegelbuch!#REF!</f>
        <v>#REF!</v>
      </c>
      <c r="W7" t="e">
        <f>Kegelbuch!#REF!</f>
        <v>#REF!</v>
      </c>
      <c r="X7" t="e">
        <f>Kegelbuch!#REF!</f>
        <v>#REF!</v>
      </c>
      <c r="Y7" t="e">
        <f>Kegelbuch!#REF!</f>
        <v>#REF!</v>
      </c>
      <c r="Z7" t="e">
        <f>Kegelbuch!#REF!</f>
        <v>#REF!</v>
      </c>
      <c r="AA7" t="e">
        <f>Kegelbuch!#REF!</f>
        <v>#REF!</v>
      </c>
      <c r="AB7" t="e">
        <f>Kegelbuch!#REF!</f>
        <v>#REF!</v>
      </c>
    </row>
    <row r="8" spans="1:28" x14ac:dyDescent="0.25">
      <c r="A8" s="61">
        <f t="shared" si="0"/>
        <v>0</v>
      </c>
      <c r="B8">
        <f t="shared" si="1"/>
        <v>0</v>
      </c>
      <c r="C8">
        <f>IF('17 und 4'!K9&gt;21,999,ABS('17 und 4'!K9-21))</f>
        <v>21</v>
      </c>
      <c r="E8">
        <f>IF('Große + Kleine Hausnummer'!B10="",0,('Große + Kleine Hausnummer'!B10))</f>
        <v>0</v>
      </c>
      <c r="F8">
        <f>IF('Große + Kleine Hausnummer'!C10="",0,('Große + Kleine Hausnummer'!C10))</f>
        <v>0</v>
      </c>
      <c r="G8">
        <f>IF('Große + Kleine Hausnummer'!D10="",0,('Große + Kleine Hausnummer'!D10))</f>
        <v>0</v>
      </c>
      <c r="I8">
        <f>IF('Große + Kleine Hausnummer'!F10="",0,('Große + Kleine Hausnummer'!F10))</f>
        <v>0</v>
      </c>
      <c r="J8">
        <f>IF('Große + Kleine Hausnummer'!G10="",0,('Große + Kleine Hausnummer'!G10))</f>
        <v>0</v>
      </c>
      <c r="K8">
        <f>IF('Große + Kleine Hausnummer'!H10="",0,('Große + Kleine Hausnummer'!H10))</f>
        <v>0</v>
      </c>
      <c r="Q8">
        <f>Kegelbuch!F10</f>
        <v>0</v>
      </c>
      <c r="R8" t="e">
        <f>Kegelbuch!#REF!</f>
        <v>#REF!</v>
      </c>
      <c r="S8" t="e">
        <f>Kegelbuch!#REF!</f>
        <v>#REF!</v>
      </c>
      <c r="T8" t="e">
        <f>Kegelbuch!#REF!</f>
        <v>#REF!</v>
      </c>
      <c r="U8" t="e">
        <f>Kegelbuch!#REF!</f>
        <v>#REF!</v>
      </c>
      <c r="V8" t="e">
        <f>Kegelbuch!#REF!</f>
        <v>#REF!</v>
      </c>
      <c r="W8" t="e">
        <f>Kegelbuch!#REF!</f>
        <v>#REF!</v>
      </c>
      <c r="X8" t="e">
        <f>Kegelbuch!#REF!</f>
        <v>#REF!</v>
      </c>
      <c r="Y8" t="e">
        <f>Kegelbuch!#REF!</f>
        <v>#REF!</v>
      </c>
      <c r="Z8" t="e">
        <f>Kegelbuch!#REF!</f>
        <v>#REF!</v>
      </c>
      <c r="AA8" t="e">
        <f>Kegelbuch!#REF!</f>
        <v>#REF!</v>
      </c>
      <c r="AB8" t="e">
        <f>Kegelbuch!#REF!</f>
        <v>#REF!</v>
      </c>
    </row>
    <row r="9" spans="1:28" x14ac:dyDescent="0.25">
      <c r="A9" s="61">
        <f t="shared" si="0"/>
        <v>0</v>
      </c>
      <c r="B9">
        <f t="shared" si="1"/>
        <v>0</v>
      </c>
      <c r="C9">
        <f>IF('17 und 4'!K10&gt;21,999,ABS('17 und 4'!K10-21))</f>
        <v>21</v>
      </c>
      <c r="E9">
        <f>IF('Große + Kleine Hausnummer'!B11="",0,('Große + Kleine Hausnummer'!B11))</f>
        <v>0</v>
      </c>
      <c r="F9">
        <f>IF('Große + Kleine Hausnummer'!C11="",0,('Große + Kleine Hausnummer'!C11))</f>
        <v>0</v>
      </c>
      <c r="G9">
        <f>IF('Große + Kleine Hausnummer'!D11="",0,('Große + Kleine Hausnummer'!D11))</f>
        <v>0</v>
      </c>
      <c r="I9">
        <f>IF('Große + Kleine Hausnummer'!F11="",0,('Große + Kleine Hausnummer'!F11))</f>
        <v>0</v>
      </c>
      <c r="J9">
        <f>IF('Große + Kleine Hausnummer'!G11="",0,('Große + Kleine Hausnummer'!G11))</f>
        <v>0</v>
      </c>
      <c r="K9">
        <f>IF('Große + Kleine Hausnummer'!H11="",0,('Große + Kleine Hausnummer'!H11))</f>
        <v>0</v>
      </c>
      <c r="Q9">
        <f>Kegelbuch!F11</f>
        <v>0</v>
      </c>
      <c r="R9" t="e">
        <f>Kegelbuch!#REF!</f>
        <v>#REF!</v>
      </c>
      <c r="S9" t="e">
        <f>Kegelbuch!#REF!</f>
        <v>#REF!</v>
      </c>
      <c r="T9" t="e">
        <f>Kegelbuch!#REF!</f>
        <v>#REF!</v>
      </c>
      <c r="U9" t="e">
        <f>Kegelbuch!#REF!</f>
        <v>#REF!</v>
      </c>
      <c r="V9" t="e">
        <f>Kegelbuch!#REF!</f>
        <v>#REF!</v>
      </c>
      <c r="W9" t="e">
        <f>Kegelbuch!#REF!</f>
        <v>#REF!</v>
      </c>
      <c r="X9" t="e">
        <f>Kegelbuch!#REF!</f>
        <v>#REF!</v>
      </c>
      <c r="Y9" t="e">
        <f>Kegelbuch!#REF!</f>
        <v>#REF!</v>
      </c>
      <c r="Z9" t="e">
        <f>Kegelbuch!#REF!</f>
        <v>#REF!</v>
      </c>
      <c r="AA9" t="e">
        <f>Kegelbuch!#REF!</f>
        <v>#REF!</v>
      </c>
      <c r="AB9" t="e">
        <f>Kegelbuch!#REF!</f>
        <v>#REF!</v>
      </c>
    </row>
    <row r="10" spans="1:28" x14ac:dyDescent="0.25">
      <c r="A10" s="61">
        <f>_xlfn.NUMBERVALUE(CONCATENATE(E10,F10,G10))</f>
        <v>0</v>
      </c>
      <c r="B10">
        <f t="shared" si="1"/>
        <v>0</v>
      </c>
      <c r="C10">
        <f>IF('17 und 4'!K11&gt;21,999,ABS('17 und 4'!K11-21))</f>
        <v>21</v>
      </c>
      <c r="E10">
        <f>IF('Große + Kleine Hausnummer'!B12="",0,('Große + Kleine Hausnummer'!B12))</f>
        <v>0</v>
      </c>
      <c r="F10">
        <f>IF('Große + Kleine Hausnummer'!C12="",0,('Große + Kleine Hausnummer'!C12))</f>
        <v>0</v>
      </c>
      <c r="G10">
        <f>IF('Große + Kleine Hausnummer'!D12="",0,('Große + Kleine Hausnummer'!D12))</f>
        <v>0</v>
      </c>
      <c r="I10">
        <f>IF('Große + Kleine Hausnummer'!F12="",0,('Große + Kleine Hausnummer'!F12))</f>
        <v>0</v>
      </c>
      <c r="J10">
        <f>IF('Große + Kleine Hausnummer'!G12="",0,('Große + Kleine Hausnummer'!G12))</f>
        <v>0</v>
      </c>
      <c r="K10">
        <f>IF('Große + Kleine Hausnummer'!H12="",0,('Große + Kleine Hausnummer'!H12))</f>
        <v>0</v>
      </c>
      <c r="O10" s="56">
        <f ca="1">TODAY()</f>
        <v>46166</v>
      </c>
      <c r="Q10">
        <f>Kegelbuch!F12</f>
        <v>0</v>
      </c>
      <c r="R10" t="e">
        <f>Kegelbuch!#REF!</f>
        <v>#REF!</v>
      </c>
      <c r="S10" t="e">
        <f>Kegelbuch!#REF!</f>
        <v>#REF!</v>
      </c>
      <c r="T10" t="e">
        <f>Kegelbuch!#REF!</f>
        <v>#REF!</v>
      </c>
      <c r="U10" t="e">
        <f>Kegelbuch!#REF!</f>
        <v>#REF!</v>
      </c>
      <c r="V10" t="e">
        <f>Kegelbuch!#REF!</f>
        <v>#REF!</v>
      </c>
      <c r="W10" t="e">
        <f>Kegelbuch!#REF!</f>
        <v>#REF!</v>
      </c>
      <c r="X10" t="e">
        <f>Kegelbuch!#REF!</f>
        <v>#REF!</v>
      </c>
      <c r="Y10" t="e">
        <f>Kegelbuch!#REF!</f>
        <v>#REF!</v>
      </c>
      <c r="Z10" t="e">
        <f>Kegelbuch!#REF!</f>
        <v>#REF!</v>
      </c>
      <c r="AA10" t="e">
        <f>Kegelbuch!#REF!</f>
        <v>#REF!</v>
      </c>
      <c r="AB10" t="e">
        <f>Kegelbuch!#REF!</f>
        <v>#REF!</v>
      </c>
    </row>
    <row r="11" spans="1:28" x14ac:dyDescent="0.25">
      <c r="A11" s="61">
        <f t="shared" ref="A11:A15" si="2">_xlfn.NUMBERVALUE(CONCATENATE(E11,F11,G11))</f>
        <v>0</v>
      </c>
      <c r="B11">
        <f t="shared" si="1"/>
        <v>0</v>
      </c>
      <c r="C11">
        <f>IF('17 und 4'!K12&gt;21,999,ABS('17 und 4'!K12-21))</f>
        <v>21</v>
      </c>
      <c r="E11">
        <f>IF('Große + Kleine Hausnummer'!B13="",0,('Große + Kleine Hausnummer'!B13))</f>
        <v>0</v>
      </c>
      <c r="F11">
        <f>IF('Große + Kleine Hausnummer'!C13="",0,('Große + Kleine Hausnummer'!C13))</f>
        <v>0</v>
      </c>
      <c r="G11">
        <f>IF('Große + Kleine Hausnummer'!D13="",0,('Große + Kleine Hausnummer'!D13))</f>
        <v>0</v>
      </c>
      <c r="I11">
        <f>IF('Große + Kleine Hausnummer'!F13="",0,('Große + Kleine Hausnummer'!F13))</f>
        <v>0</v>
      </c>
      <c r="J11">
        <f>IF('Große + Kleine Hausnummer'!G13="",0,('Große + Kleine Hausnummer'!G13))</f>
        <v>0</v>
      </c>
      <c r="K11">
        <f>IF('Große + Kleine Hausnummer'!H13="",0,('Große + Kleine Hausnummer'!H13))</f>
        <v>0</v>
      </c>
      <c r="Q11">
        <f>Kegelbuch!F13</f>
        <v>0</v>
      </c>
      <c r="R11" t="e">
        <f>Kegelbuch!#REF!</f>
        <v>#REF!</v>
      </c>
      <c r="S11" t="e">
        <f>Kegelbuch!#REF!</f>
        <v>#REF!</v>
      </c>
      <c r="T11" t="e">
        <f>Kegelbuch!#REF!</f>
        <v>#REF!</v>
      </c>
      <c r="U11" t="e">
        <f>Kegelbuch!#REF!</f>
        <v>#REF!</v>
      </c>
      <c r="V11" t="e">
        <f>Kegelbuch!#REF!</f>
        <v>#REF!</v>
      </c>
      <c r="W11" t="e">
        <f>Kegelbuch!#REF!</f>
        <v>#REF!</v>
      </c>
      <c r="X11" t="e">
        <f>Kegelbuch!#REF!</f>
        <v>#REF!</v>
      </c>
      <c r="Y11" t="e">
        <f>Kegelbuch!#REF!</f>
        <v>#REF!</v>
      </c>
      <c r="Z11" t="e">
        <f>Kegelbuch!#REF!</f>
        <v>#REF!</v>
      </c>
      <c r="AA11" t="e">
        <f>Kegelbuch!#REF!</f>
        <v>#REF!</v>
      </c>
      <c r="AB11" t="e">
        <f>Kegelbuch!#REF!</f>
        <v>#REF!</v>
      </c>
    </row>
    <row r="12" spans="1:28" x14ac:dyDescent="0.25">
      <c r="A12" s="61">
        <f t="shared" si="2"/>
        <v>0</v>
      </c>
      <c r="B12">
        <f t="shared" si="1"/>
        <v>0</v>
      </c>
      <c r="C12">
        <f>IF('17 und 4'!K13&gt;21,999,ABS('17 und 4'!K13-21))</f>
        <v>21</v>
      </c>
      <c r="E12">
        <f>IF('Große + Kleine Hausnummer'!B14="",0,('Große + Kleine Hausnummer'!B14))</f>
        <v>0</v>
      </c>
      <c r="F12">
        <f>IF('Große + Kleine Hausnummer'!C14="",0,('Große + Kleine Hausnummer'!C14))</f>
        <v>0</v>
      </c>
      <c r="G12">
        <f>IF('Große + Kleine Hausnummer'!D14="",0,('Große + Kleine Hausnummer'!D14))</f>
        <v>0</v>
      </c>
      <c r="I12">
        <f>IF('Große + Kleine Hausnummer'!F14="",0,('Große + Kleine Hausnummer'!F14))</f>
        <v>0</v>
      </c>
      <c r="J12">
        <f>IF('Große + Kleine Hausnummer'!G14="",0,('Große + Kleine Hausnummer'!G14))</f>
        <v>0</v>
      </c>
      <c r="K12">
        <f>IF('Große + Kleine Hausnummer'!H14="",0,('Große + Kleine Hausnummer'!H14))</f>
        <v>0</v>
      </c>
      <c r="Q12">
        <f>Kegelbuch!F14</f>
        <v>3</v>
      </c>
      <c r="R12" t="e">
        <f>Kegelbuch!#REF!</f>
        <v>#REF!</v>
      </c>
      <c r="S12" t="e">
        <f>Kegelbuch!#REF!</f>
        <v>#REF!</v>
      </c>
      <c r="T12" t="e">
        <f>Kegelbuch!#REF!</f>
        <v>#REF!</v>
      </c>
      <c r="U12" t="e">
        <f>Kegelbuch!#REF!</f>
        <v>#REF!</v>
      </c>
      <c r="V12" t="e">
        <f>Kegelbuch!#REF!</f>
        <v>#REF!</v>
      </c>
      <c r="W12" t="e">
        <f>Kegelbuch!#REF!</f>
        <v>#REF!</v>
      </c>
      <c r="X12" t="e">
        <f>Kegelbuch!#REF!</f>
        <v>#REF!</v>
      </c>
      <c r="Y12" t="e">
        <f>Kegelbuch!#REF!</f>
        <v>#REF!</v>
      </c>
      <c r="Z12" t="e">
        <f>Kegelbuch!#REF!</f>
        <v>#REF!</v>
      </c>
      <c r="AA12" t="e">
        <f>Kegelbuch!#REF!</f>
        <v>#REF!</v>
      </c>
      <c r="AB12" t="e">
        <f>Kegelbuch!#REF!</f>
        <v>#REF!</v>
      </c>
    </row>
    <row r="13" spans="1:28" x14ac:dyDescent="0.25">
      <c r="A13" s="61">
        <f t="shared" si="2"/>
        <v>0</v>
      </c>
      <c r="B13">
        <f t="shared" si="1"/>
        <v>0</v>
      </c>
      <c r="C13">
        <f>IF('17 und 4'!K14&gt;21,999,ABS('17 und 4'!K14-21))</f>
        <v>21</v>
      </c>
      <c r="E13">
        <f>IF('Große + Kleine Hausnummer'!B15="",0,('Große + Kleine Hausnummer'!B15))</f>
        <v>0</v>
      </c>
      <c r="F13">
        <f>IF('Große + Kleine Hausnummer'!C15="",0,('Große + Kleine Hausnummer'!C15))</f>
        <v>0</v>
      </c>
      <c r="G13">
        <f>IF('Große + Kleine Hausnummer'!D15="",0,('Große + Kleine Hausnummer'!D15))</f>
        <v>0</v>
      </c>
      <c r="I13">
        <f>IF('Große + Kleine Hausnummer'!F15="",0,('Große + Kleine Hausnummer'!F15))</f>
        <v>0</v>
      </c>
      <c r="J13">
        <f>IF('Große + Kleine Hausnummer'!G15="",0,('Große + Kleine Hausnummer'!G15))</f>
        <v>0</v>
      </c>
      <c r="K13">
        <f>IF('Große + Kleine Hausnummer'!H15="",0,('Große + Kleine Hausnummer'!H15))</f>
        <v>0</v>
      </c>
      <c r="Q13">
        <f>Kegelbuch!F15</f>
        <v>3</v>
      </c>
      <c r="R13" t="e">
        <f>Kegelbuch!#REF!</f>
        <v>#REF!</v>
      </c>
      <c r="S13" t="e">
        <f>Kegelbuch!#REF!</f>
        <v>#REF!</v>
      </c>
      <c r="T13" t="e">
        <f>Kegelbuch!#REF!</f>
        <v>#REF!</v>
      </c>
      <c r="U13" t="e">
        <f>Kegelbuch!#REF!</f>
        <v>#REF!</v>
      </c>
      <c r="V13" t="e">
        <f>Kegelbuch!#REF!</f>
        <v>#REF!</v>
      </c>
      <c r="W13" t="e">
        <f>Kegelbuch!#REF!</f>
        <v>#REF!</v>
      </c>
      <c r="X13" t="e">
        <f>Kegelbuch!#REF!</f>
        <v>#REF!</v>
      </c>
      <c r="Y13" t="e">
        <f>Kegelbuch!#REF!</f>
        <v>#REF!</v>
      </c>
      <c r="Z13" t="e">
        <f>Kegelbuch!#REF!</f>
        <v>#REF!</v>
      </c>
      <c r="AA13" t="e">
        <f>Kegelbuch!#REF!</f>
        <v>#REF!</v>
      </c>
      <c r="AB13" t="e">
        <f>Kegelbuch!#REF!</f>
        <v>#REF!</v>
      </c>
    </row>
    <row r="14" spans="1:28" x14ac:dyDescent="0.25">
      <c r="A14" s="61">
        <f t="shared" si="2"/>
        <v>0</v>
      </c>
      <c r="B14">
        <f t="shared" si="1"/>
        <v>0</v>
      </c>
      <c r="C14">
        <f>IF('17 und 4'!K15&gt;21,999,ABS('17 und 4'!K15-21))</f>
        <v>21</v>
      </c>
      <c r="E14">
        <f>IF('Große + Kleine Hausnummer'!B16="",0,('Große + Kleine Hausnummer'!B16))</f>
        <v>0</v>
      </c>
      <c r="F14">
        <f>IF('Große + Kleine Hausnummer'!C16="",0,('Große + Kleine Hausnummer'!C16))</f>
        <v>0</v>
      </c>
      <c r="G14">
        <f>IF('Große + Kleine Hausnummer'!D16="",0,('Große + Kleine Hausnummer'!D16))</f>
        <v>0</v>
      </c>
      <c r="I14">
        <f>IF('Große + Kleine Hausnummer'!F16="",0,('Große + Kleine Hausnummer'!F16))</f>
        <v>0</v>
      </c>
      <c r="J14">
        <f>IF('Große + Kleine Hausnummer'!G16="",0,('Große + Kleine Hausnummer'!G16))</f>
        <v>0</v>
      </c>
      <c r="K14">
        <f>IF('Große + Kleine Hausnummer'!H16="",0,('Große + Kleine Hausnummer'!H16))</f>
        <v>0</v>
      </c>
      <c r="Q14">
        <f>Kegelbuch!F16</f>
        <v>0</v>
      </c>
      <c r="R14" t="e">
        <f>Kegelbuch!#REF!</f>
        <v>#REF!</v>
      </c>
      <c r="S14" t="e">
        <f>Kegelbuch!#REF!</f>
        <v>#REF!</v>
      </c>
      <c r="T14" t="e">
        <f>Kegelbuch!#REF!</f>
        <v>#REF!</v>
      </c>
      <c r="U14" t="e">
        <f>Kegelbuch!#REF!</f>
        <v>#REF!</v>
      </c>
      <c r="V14" t="e">
        <f>Kegelbuch!#REF!</f>
        <v>#REF!</v>
      </c>
      <c r="W14" t="e">
        <f>Kegelbuch!#REF!</f>
        <v>#REF!</v>
      </c>
      <c r="X14" t="e">
        <f>Kegelbuch!#REF!</f>
        <v>#REF!</v>
      </c>
      <c r="Y14" t="e">
        <f>Kegelbuch!#REF!</f>
        <v>#REF!</v>
      </c>
      <c r="Z14" t="e">
        <f>Kegelbuch!#REF!</f>
        <v>#REF!</v>
      </c>
      <c r="AA14" t="e">
        <f>Kegelbuch!#REF!</f>
        <v>#REF!</v>
      </c>
      <c r="AB14" t="e">
        <f>Kegelbuch!#REF!</f>
        <v>#REF!</v>
      </c>
    </row>
    <row r="15" spans="1:28" x14ac:dyDescent="0.25">
      <c r="A15" s="61">
        <f t="shared" si="2"/>
        <v>0</v>
      </c>
      <c r="B15">
        <f t="shared" si="1"/>
        <v>0</v>
      </c>
      <c r="C15">
        <f>IF('17 und 4'!K16&gt;21,999,ABS('17 und 4'!K16-21))</f>
        <v>21</v>
      </c>
      <c r="E15">
        <f>IF('Große + Kleine Hausnummer'!B17="",0,('Große + Kleine Hausnummer'!B17))</f>
        <v>0</v>
      </c>
      <c r="F15">
        <f>IF('Große + Kleine Hausnummer'!C17="",0,('Große + Kleine Hausnummer'!C17))</f>
        <v>0</v>
      </c>
      <c r="G15">
        <f>IF('Große + Kleine Hausnummer'!D17="",0,('Große + Kleine Hausnummer'!D17))</f>
        <v>0</v>
      </c>
      <c r="I15">
        <f>IF('Große + Kleine Hausnummer'!F17="",0,('Große + Kleine Hausnummer'!F17))</f>
        <v>0</v>
      </c>
      <c r="J15">
        <f>IF('Große + Kleine Hausnummer'!G17="",0,('Große + Kleine Hausnummer'!G17))</f>
        <v>0</v>
      </c>
      <c r="K15">
        <f>IF('Große + Kleine Hausnummer'!H17="",0,('Große + Kleine Hausnummer'!H17))</f>
        <v>0</v>
      </c>
      <c r="Q15">
        <f>Kegelbuch!F17</f>
        <v>0</v>
      </c>
      <c r="R15" t="e">
        <f>Kegelbuch!#REF!</f>
        <v>#REF!</v>
      </c>
      <c r="S15" t="e">
        <f>Kegelbuch!#REF!</f>
        <v>#REF!</v>
      </c>
      <c r="T15" t="e">
        <f>Kegelbuch!#REF!</f>
        <v>#REF!</v>
      </c>
      <c r="U15" t="e">
        <f>Kegelbuch!#REF!</f>
        <v>#REF!</v>
      </c>
      <c r="V15" t="e">
        <f>Kegelbuch!#REF!</f>
        <v>#REF!</v>
      </c>
      <c r="W15" t="e">
        <f>Kegelbuch!#REF!</f>
        <v>#REF!</v>
      </c>
      <c r="X15" t="e">
        <f>Kegelbuch!#REF!</f>
        <v>#REF!</v>
      </c>
      <c r="Y15" t="e">
        <f>Kegelbuch!#REF!</f>
        <v>#REF!</v>
      </c>
      <c r="Z15" t="e">
        <f>Kegelbuch!#REF!</f>
        <v>#REF!</v>
      </c>
      <c r="AA15" t="e">
        <f>Kegelbuch!#REF!</f>
        <v>#REF!</v>
      </c>
      <c r="AB15" t="e">
        <f>Kegelbuch!#REF!</f>
        <v>#REF!</v>
      </c>
    </row>
    <row r="16" spans="1:28" x14ac:dyDescent="0.25">
      <c r="Q16">
        <f>Kegelbuch!F18</f>
        <v>0</v>
      </c>
      <c r="R16" t="e">
        <f>Kegelbuch!#REF!</f>
        <v>#REF!</v>
      </c>
      <c r="S16" t="e">
        <f>Kegelbuch!#REF!</f>
        <v>#REF!</v>
      </c>
      <c r="T16" t="e">
        <f>Kegelbuch!#REF!</f>
        <v>#REF!</v>
      </c>
      <c r="U16" t="e">
        <f>Kegelbuch!#REF!</f>
        <v>#REF!</v>
      </c>
      <c r="V16" t="e">
        <f>Kegelbuch!#REF!</f>
        <v>#REF!</v>
      </c>
      <c r="W16" t="e">
        <f>Kegelbuch!#REF!</f>
        <v>#REF!</v>
      </c>
      <c r="X16" t="e">
        <f>Kegelbuch!#REF!</f>
        <v>#REF!</v>
      </c>
      <c r="Y16" t="e">
        <f>Kegelbuch!#REF!</f>
        <v>#REF!</v>
      </c>
      <c r="Z16" t="e">
        <f>Kegelbuch!#REF!</f>
        <v>#REF!</v>
      </c>
      <c r="AA16" t="e">
        <f>Kegelbuch!#REF!</f>
        <v>#REF!</v>
      </c>
      <c r="AB16" t="e">
        <f>Kegelbuch!#REF!</f>
        <v>#REF!</v>
      </c>
    </row>
    <row r="17" spans="1:28" x14ac:dyDescent="0.25">
      <c r="B17" t="s">
        <v>10</v>
      </c>
      <c r="C17" t="s">
        <v>66</v>
      </c>
      <c r="D17" t="s">
        <v>67</v>
      </c>
      <c r="E17" t="s">
        <v>68</v>
      </c>
      <c r="F17" t="s">
        <v>34</v>
      </c>
      <c r="G17" t="s">
        <v>69</v>
      </c>
      <c r="H17" t="s">
        <v>70</v>
      </c>
      <c r="I17" t="s">
        <v>11</v>
      </c>
      <c r="K17" t="s">
        <v>71</v>
      </c>
      <c r="N17" s="58" t="s">
        <v>72</v>
      </c>
      <c r="O17" s="58" t="s">
        <v>94</v>
      </c>
      <c r="P17" s="58"/>
      <c r="Q17">
        <f>Kegelbuch!F19</f>
        <v>6</v>
      </c>
      <c r="R17" t="e">
        <f>Kegelbuch!#REF!</f>
        <v>#REF!</v>
      </c>
      <c r="S17" t="e">
        <f>Kegelbuch!#REF!</f>
        <v>#REF!</v>
      </c>
      <c r="T17" t="e">
        <f>Kegelbuch!#REF!</f>
        <v>#REF!</v>
      </c>
      <c r="U17" t="e">
        <f>Kegelbuch!#REF!</f>
        <v>#REF!</v>
      </c>
      <c r="V17" t="e">
        <f>Kegelbuch!#REF!</f>
        <v>#REF!</v>
      </c>
      <c r="W17" t="e">
        <f>Kegelbuch!#REF!</f>
        <v>#REF!</v>
      </c>
      <c r="X17" t="e">
        <f>Kegelbuch!#REF!</f>
        <v>#REF!</v>
      </c>
      <c r="Y17" t="e">
        <f>Kegelbuch!#REF!</f>
        <v>#REF!</v>
      </c>
      <c r="Z17" t="e">
        <f>Kegelbuch!#REF!</f>
        <v>#REF!</v>
      </c>
      <c r="AA17" t="e">
        <f>Kegelbuch!#REF!</f>
        <v>#REF!</v>
      </c>
      <c r="AB17" t="e">
        <f>Kegelbuch!#REF!</f>
        <v>#REF!</v>
      </c>
    </row>
    <row r="18" spans="1:28" ht="18" x14ac:dyDescent="0.25">
      <c r="A18" s="2" t="s">
        <v>7</v>
      </c>
      <c r="B18">
        <f>IF(ISERROR($L$34+1-VLOOKUP($A18,'17 und 4'!$A$2:$L$18,12,0))=TRUE,0,$L$34+1-VLOOKUP($A18,'17 und 4'!$A$2:$L$18,12,0))</f>
        <v>0</v>
      </c>
      <c r="C18">
        <f>SUM(IF(ISERROR($L$34+1-VLOOKUP($A18,'Große + Kleine Hausnummer'!$A$3:$E$15,5,0))=TRUE,0,$L$34+1-VLOOKUP($A18,'Große + Kleine Hausnummer'!$A$3:$E$15,5,0)),IF(ISERROR($L$34+1-VLOOKUP($A18,'Große + Kleine Hausnummer'!$A$3:$I$15,9,0))=TRUE,0,$L$34+1-VLOOKUP($A18,'Große + Kleine Hausnummer'!$A$3:$I$15,9,0)))</f>
        <v>12</v>
      </c>
      <c r="D18">
        <f>IF(ISERROR($L$34+1-D35)=TRUE,0,$L$34+1-D35)</f>
        <v>1</v>
      </c>
      <c r="E18">
        <f>IF(ISERROR(32+1-VLOOKUP($A18,'6 Tage Rennen'!$A$3:$R$16,18,0))=TRUE,0,$L$34+2-2*VLOOKUP($A18,'6 Tage Rennen'!$A$3:$R$16,18,0))</f>
        <v>0</v>
      </c>
      <c r="F18">
        <f>IF(ISERROR($L$34+1-E35)=TRUE,0,$L$34+1-E35)</f>
        <v>0</v>
      </c>
      <c r="G18">
        <f>IF(ISERROR($L$34+1-VLOOKUP($A18,$G$35:$I$52,3,0))=TRUE,0,$L$34+1-VLOOKUP($A18,$G$35:$I$52,3,0))</f>
        <v>0</v>
      </c>
      <c r="H18">
        <f>IF(ISERROR($L$34+1-VLOOKUP($A18,Idiotenkegeln!$A$3:$F$17,6,0))=TRUE,0,($L$34+1-VLOOKUP($A18,Idiotenkegeln!$A$3:$F$17,6,0)))</f>
        <v>11</v>
      </c>
      <c r="I18">
        <f>SUM(B18:H18,K18,N18,O18)</f>
        <v>35</v>
      </c>
      <c r="K18">
        <f>IF(ISERROR($L$34+1-VLOOKUP($A18,Schweinepartie!$A$3:$H$16,8,0))=TRUE,0,($L$34+1-VLOOKUP($A18,Schweinepartie!$A$3:$H$16,8,0)))</f>
        <v>0</v>
      </c>
      <c r="L18">
        <f>IF('Große + Kleine Hausnummer'!A3="",0,1)</f>
        <v>1</v>
      </c>
      <c r="N18">
        <f>IF(ISERROR($L$34+1-VLOOKUP($A18,'Mensch-ärger-dich-nicht'!$A$3:$L$19,3,0))=TRUE,0,$L$34+1-VLOOKUP($A18,'Mensch-ärger-dich-nicht'!$A$3:$L$19,3,0))</f>
        <v>11</v>
      </c>
      <c r="O18">
        <f>IFERROR(VLOOKUP(Q18,$R$19:$U$28,4),0)</f>
        <v>0</v>
      </c>
      <c r="Q18" t="str">
        <f>IF(ISERROR(SEARCH(A18,Busfahren!$H$2)),IF(ISERROR(SEARCH(A18,Busfahren!$H$3)),IF(ISERROR(SEARCH(A18,Busfahren!$H$4)),IF(ISERROR(SEARCH(A18,Busfahren!$H$5)),IF(ISERROR(SEARCH(A18,Busfahren!$H$6)),IF(ISERROR(SEARCH(A18,Busfahren!$H$7)),IF(ISERROR(SEARCH(A18,Busfahren!$H$8)),IF(ISERROR(SEARCH(A18,Busfahren!$H$9)),IF(ISERROR(SEARCH(A18,Busfahren!$H$10)),"Bus 0","Bus 9"),"Bus 8"),"Bus 7"),"Bus 6"),"Bus 5"),"Bus 4"),"Bus 3"),"Bus 2"),"Bus 1")</f>
        <v>Bus 0</v>
      </c>
      <c r="R18" t="s">
        <v>98</v>
      </c>
      <c r="S18" t="s">
        <v>99</v>
      </c>
      <c r="U18" t="s">
        <v>62</v>
      </c>
      <c r="W18" t="s">
        <v>101</v>
      </c>
    </row>
    <row r="19" spans="1:28" ht="18" x14ac:dyDescent="0.25">
      <c r="A19" s="2" t="s">
        <v>6</v>
      </c>
      <c r="B19">
        <f>IF(ISERROR($L$34+1-VLOOKUP($A19,'17 und 4'!$A$2:$L$18,12,0))=TRUE,0,$L$34+1-VLOOKUP($A19,'17 und 4'!$A$2:$L$18,12,0))</f>
        <v>0</v>
      </c>
      <c r="C19">
        <f>SUM(IF(ISERROR($L$34+1-VLOOKUP($A19,'Große + Kleine Hausnummer'!$A$3:$E$15,5,0))=TRUE,0,$L$34+1-VLOOKUP($A19,'Große + Kleine Hausnummer'!$A$3:$E$15,5,0)),IF(ISERROR($L$34+1-VLOOKUP($A19,'Große + Kleine Hausnummer'!$A$3:$I$15,9,0))=TRUE,0,$L$34+1-VLOOKUP($A19,'Große + Kleine Hausnummer'!$A$3:$I$15,9,0)))</f>
        <v>12</v>
      </c>
      <c r="D19">
        <f t="shared" ref="D19:D33" si="3">IF(ISERROR($L$34+1-D36)=TRUE,0,$L$34+1-D36)</f>
        <v>1</v>
      </c>
      <c r="E19">
        <f>IF(ISERROR(32+1-VLOOKUP($A19,'6 Tage Rennen'!$A$3:$R$16,18,0))=TRUE,0,$L$34+2-2*VLOOKUP($A19,'6 Tage Rennen'!$A$3:$R$16,18,0))</f>
        <v>0</v>
      </c>
      <c r="F19">
        <f t="shared" ref="F19:F33" si="4">IF(ISERROR($L$34+1-E36)=TRUE,0,$L$34+1-E36)</f>
        <v>1</v>
      </c>
      <c r="G19">
        <f t="shared" ref="G19:G33" si="5">IF(ISERROR($L$34+1-VLOOKUP($A19,$G$35:$I$52,3,0))=TRUE,0,$L$34+1-VLOOKUP($A19,$G$35:$I$52,3,0))</f>
        <v>0</v>
      </c>
      <c r="H19">
        <f>IF(ISERROR($L$34+1-VLOOKUP($A19,Idiotenkegeln!$A$3:$F$17,6,0))=TRUE,0,($L$34+1-VLOOKUP($A19,Idiotenkegeln!$A$3:$F$17,6,0)))</f>
        <v>11</v>
      </c>
      <c r="I19">
        <f t="shared" ref="I19:I30" si="6">SUM(B19:H19,K19,N19,O19)</f>
        <v>36</v>
      </c>
      <c r="K19">
        <f>IF(ISERROR($L$34+1-VLOOKUP($A19,Schweinepartie!$A$3:$H$16,8,0))=TRUE,0,($L$34+1-VLOOKUP($A19,Schweinepartie!$A$3:$H$16,8,0)))</f>
        <v>0</v>
      </c>
      <c r="L19">
        <f>IF('Große + Kleine Hausnummer'!A4="",0,1)</f>
        <v>1</v>
      </c>
      <c r="N19">
        <f>IF(ISERROR($L$34+1-VLOOKUP($A19,'Mensch-ärger-dich-nicht'!$A$3:$L$19,3,0))=TRUE,0,$L$34+1-VLOOKUP($A19,'Mensch-ärger-dich-nicht'!$A$3:$L$19,3,0))</f>
        <v>11</v>
      </c>
      <c r="O19">
        <f t="shared" ref="O19:O30" si="7">IFERROR(VLOOKUP(Q19,$R$19:$U$28,4),0)</f>
        <v>0</v>
      </c>
      <c r="Q19" t="str">
        <f>IF(ISERROR(SEARCH(A19,Busfahren!$H$2)),IF(ISERROR(SEARCH(A19,Busfahren!$H$3)),IF(ISERROR(SEARCH(A19,Busfahren!$H$4)),IF(ISERROR(SEARCH(A19,Busfahren!$H$5)),IF(ISERROR(SEARCH(A19,Busfahren!$H$6)),IF(ISERROR(SEARCH(A19,Busfahren!$H$7)),IF(ISERROR(SEARCH(A19,Busfahren!$H$8)),IF(ISERROR(SEARCH(A19,Busfahren!$H$9)),IF(ISERROR(SEARCH(A19,Busfahren!$H$10)),"Bus 0","Bus 9"),"Bus 8"),"Bus 7"),"Bus 6"),"Bus 5"),"Bus 4"),"Bus 3"),"Bus 2"),"Bus 1")</f>
        <v>Bus 0</v>
      </c>
      <c r="R19" t="s">
        <v>85</v>
      </c>
      <c r="S19">
        <f>_xlfn.RANK.EQ(W19,$W$19:$W$28,)</f>
        <v>1</v>
      </c>
      <c r="T19">
        <f>IF(Busfahren!H2="",0,1)</f>
        <v>0</v>
      </c>
      <c r="U19" t="e">
        <f>ROUNDUP($L$34-(S19-1)*$T$28,0)</f>
        <v>#DIV/0!</v>
      </c>
      <c r="W19">
        <f>COUNTIF(Busfahren!B2:G2, "O")</f>
        <v>0</v>
      </c>
    </row>
    <row r="20" spans="1:28" ht="18" x14ac:dyDescent="0.25">
      <c r="A20" s="2" t="s">
        <v>17</v>
      </c>
      <c r="B20">
        <f>IF(ISERROR($L$34+1-VLOOKUP($A20,'17 und 4'!$A$2:$L$18,12,0))=TRUE,0,$L$34+1-VLOOKUP($A20,'17 und 4'!$A$2:$L$18,12,0))</f>
        <v>0</v>
      </c>
      <c r="C20">
        <f>SUM(IF(ISERROR($L$34+1-VLOOKUP($A20,'Große + Kleine Hausnummer'!$A$3:$E$15,5,0))=TRUE,0,$L$34+1-VLOOKUP($A20,'Große + Kleine Hausnummer'!$A$3:$E$15,5,0)),IF(ISERROR($L$34+1-VLOOKUP($A20,'Große + Kleine Hausnummer'!$A$3:$I$15,9,0))=TRUE,0,$L$34+1-VLOOKUP($A20,'Große + Kleine Hausnummer'!$A$3:$I$15,9,0)))</f>
        <v>12</v>
      </c>
      <c r="D20">
        <f t="shared" si="3"/>
        <v>1</v>
      </c>
      <c r="E20">
        <f>IF(ISERROR(32+1-VLOOKUP($A20,'6 Tage Rennen'!$A$3:$R$16,18,0))=TRUE,0,$L$34+2-2*VLOOKUP($A20,'6 Tage Rennen'!$A$3:$R$16,18,0))</f>
        <v>0</v>
      </c>
      <c r="F20">
        <f t="shared" si="4"/>
        <v>1</v>
      </c>
      <c r="G20">
        <f t="shared" si="5"/>
        <v>0</v>
      </c>
      <c r="H20">
        <f>IF(ISERROR($L$34+1-VLOOKUP($A20,Idiotenkegeln!$A$3:$F$17,6,0))=TRUE,0,($L$34+1-VLOOKUP($A20,Idiotenkegeln!$A$3:$F$17,6,0)))</f>
        <v>11</v>
      </c>
      <c r="I20">
        <f t="shared" si="6"/>
        <v>36</v>
      </c>
      <c r="K20">
        <f>IF(ISERROR($L$34+1-VLOOKUP($A20,Schweinepartie!$A$3:$H$16,8,0))=TRUE,0,($L$34+1-VLOOKUP($A20,Schweinepartie!$A$3:$H$16,8,0)))</f>
        <v>0</v>
      </c>
      <c r="L20">
        <f>IF('Große + Kleine Hausnummer'!A5="",0,1)</f>
        <v>1</v>
      </c>
      <c r="N20">
        <f>IF(ISERROR($L$34+1-VLOOKUP($A20,'Mensch-ärger-dich-nicht'!$A$3:$L$19,3,0))=TRUE,0,$L$34+1-VLOOKUP($A20,'Mensch-ärger-dich-nicht'!$A$3:$L$19,3,0))</f>
        <v>11</v>
      </c>
      <c r="O20">
        <f t="shared" si="7"/>
        <v>0</v>
      </c>
      <c r="Q20" t="str">
        <f>IF(ISERROR(SEARCH(A20,Busfahren!$H$2)),IF(ISERROR(SEARCH(A20,Busfahren!$H$3)),IF(ISERROR(SEARCH(A20,Busfahren!$H$4)),IF(ISERROR(SEARCH(A20,Busfahren!$H$5)),IF(ISERROR(SEARCH(A20,Busfahren!$H$6)),IF(ISERROR(SEARCH(A20,Busfahren!$H$7)),IF(ISERROR(SEARCH(A20,Busfahren!$H$8)),IF(ISERROR(SEARCH(A20,Busfahren!$H$9)),IF(ISERROR(SEARCH(A20,Busfahren!$H$10)),"Bus 0","Bus 9"),"Bus 8"),"Bus 7"),"Bus 6"),"Bus 5"),"Bus 4"),"Bus 3"),"Bus 2"),"Bus 1")</f>
        <v>Bus 0</v>
      </c>
      <c r="R20" t="s">
        <v>86</v>
      </c>
      <c r="S20">
        <f t="shared" ref="S20:S27" si="8">_xlfn.RANK.EQ(W20,$W$19:$W$28,)</f>
        <v>1</v>
      </c>
      <c r="T20">
        <f>IF(Busfahren!H3="",0,1)</f>
        <v>0</v>
      </c>
      <c r="U20" t="e">
        <f t="shared" ref="U20:U27" si="9">ROUNDUP($L$34-(S20-1)*$T$28,0)</f>
        <v>#DIV/0!</v>
      </c>
      <c r="W20">
        <f>COUNTIF(Busfahren!B3:G3, "O")</f>
        <v>0</v>
      </c>
    </row>
    <row r="21" spans="1:28" ht="18" x14ac:dyDescent="0.25">
      <c r="A21" s="2" t="s">
        <v>9</v>
      </c>
      <c r="B21">
        <f>IF(ISERROR($L$34+1-VLOOKUP($A21,'17 und 4'!$A$2:$L$18,12,0))=TRUE,0,$L$34+1-VLOOKUP($A21,'17 und 4'!$A$2:$L$18,12,0))</f>
        <v>0</v>
      </c>
      <c r="C21">
        <f>SUM(IF(ISERROR($L$34+1-VLOOKUP($A21,'Große + Kleine Hausnummer'!$A$3:$E$15,5,0))=TRUE,0,$L$34+1-VLOOKUP($A21,'Große + Kleine Hausnummer'!$A$3:$E$15,5,0)),IF(ISERROR($L$34+1-VLOOKUP($A21,'Große + Kleine Hausnummer'!$A$3:$I$15,9,0))=TRUE,0,$L$34+1-VLOOKUP($A21,'Große + Kleine Hausnummer'!$A$3:$I$15,9,0)))</f>
        <v>12</v>
      </c>
      <c r="D21">
        <f t="shared" si="3"/>
        <v>1</v>
      </c>
      <c r="E21">
        <f>IF(ISERROR(32+1-VLOOKUP($A21,'6 Tage Rennen'!$A$3:$R$16,18,0))=TRUE,0,$L$34+2-2*VLOOKUP($A21,'6 Tage Rennen'!$A$3:$R$16,18,0))</f>
        <v>0</v>
      </c>
      <c r="F21">
        <f t="shared" si="4"/>
        <v>1</v>
      </c>
      <c r="G21">
        <f t="shared" si="5"/>
        <v>0</v>
      </c>
      <c r="H21">
        <f>IF(ISERROR($L$34+1-VLOOKUP($A21,Idiotenkegeln!$A$3:$F$17,6,0))=TRUE,0,($L$34+1-VLOOKUP($A21,Idiotenkegeln!$A$3:$F$17,6,0)))</f>
        <v>11</v>
      </c>
      <c r="I21">
        <f t="shared" si="6"/>
        <v>36</v>
      </c>
      <c r="K21">
        <f>IF(ISERROR($L$34+1-VLOOKUP($A21,Schweinepartie!$A$3:$H$16,8,0))=TRUE,0,($L$34+1-VLOOKUP($A21,Schweinepartie!$A$3:$H$16,8,0)))</f>
        <v>0</v>
      </c>
      <c r="L21">
        <f>IF('Große + Kleine Hausnummer'!A6="",0,1)</f>
        <v>1</v>
      </c>
      <c r="N21">
        <f>IF(ISERROR($L$34+1-VLOOKUP($A21,'Mensch-ärger-dich-nicht'!$A$3:$L$19,3,0))=TRUE,0,$L$34+1-VLOOKUP($A21,'Mensch-ärger-dich-nicht'!$A$3:$L$19,3,0))</f>
        <v>11</v>
      </c>
      <c r="O21">
        <f t="shared" si="7"/>
        <v>0</v>
      </c>
      <c r="Q21" t="str">
        <f>IF(ISERROR(SEARCH(A21,Busfahren!$H$2)),IF(ISERROR(SEARCH(A21,Busfahren!$H$3)),IF(ISERROR(SEARCH(A21,Busfahren!$H$4)),IF(ISERROR(SEARCH(A21,Busfahren!$H$5)),IF(ISERROR(SEARCH(A21,Busfahren!$H$6)),IF(ISERROR(SEARCH(A21,Busfahren!$H$7)),IF(ISERROR(SEARCH(A21,Busfahren!$H$8)),IF(ISERROR(SEARCH(A21,Busfahren!$H$9)),IF(ISERROR(SEARCH(A21,Busfahren!$H$10)),"Bus 0","Bus 9"),"Bus 8"),"Bus 7"),"Bus 6"),"Bus 5"),"Bus 4"),"Bus 3"),"Bus 2"),"Bus 1")</f>
        <v>Bus 0</v>
      </c>
      <c r="R21" t="s">
        <v>87</v>
      </c>
      <c r="S21">
        <f t="shared" si="8"/>
        <v>1</v>
      </c>
      <c r="T21">
        <f>IF(Busfahren!H4="",0,1)</f>
        <v>0</v>
      </c>
      <c r="U21" t="e">
        <f t="shared" si="9"/>
        <v>#DIV/0!</v>
      </c>
      <c r="W21">
        <f>COUNTIF(Busfahren!B4:G4, "O")</f>
        <v>0</v>
      </c>
    </row>
    <row r="22" spans="1:28" ht="18" x14ac:dyDescent="0.25">
      <c r="A22" s="2" t="s">
        <v>105</v>
      </c>
      <c r="B22">
        <f>IF(ISERROR($L$34+1-VLOOKUP($A22,'17 und 4'!$A$2:$L$18,12,0))=TRUE,0,$L$34+1-VLOOKUP($A22,'17 und 4'!$A$2:$L$18,12,0))</f>
        <v>0</v>
      </c>
      <c r="C22">
        <f>SUM(IF(ISERROR($L$34+1-VLOOKUP($A22,'Große + Kleine Hausnummer'!$A$3:$E$15,5,0))=TRUE,0,$L$34+1-VLOOKUP($A22,'Große + Kleine Hausnummer'!$A$3:$E$15,5,0)),IF(ISERROR($L$34+1-VLOOKUP($A22,'Große + Kleine Hausnummer'!$A$3:$I$15,9,0))=TRUE,0,$L$34+1-VLOOKUP($A22,'Große + Kleine Hausnummer'!$A$3:$I$15,9,0)))</f>
        <v>12</v>
      </c>
      <c r="D22">
        <f t="shared" si="3"/>
        <v>1</v>
      </c>
      <c r="E22">
        <f>IF(ISERROR(32+1-VLOOKUP($A22,'6 Tage Rennen'!$A$3:$R$16,18,0))=TRUE,0,$L$34+2-2*VLOOKUP($A22,'6 Tage Rennen'!$A$3:$R$16,18,0))</f>
        <v>0</v>
      </c>
      <c r="F22">
        <f t="shared" si="4"/>
        <v>1</v>
      </c>
      <c r="G22">
        <f t="shared" si="5"/>
        <v>0</v>
      </c>
      <c r="H22">
        <f>IF(ISERROR($L$34+1-VLOOKUP($A22,Idiotenkegeln!$A$3:$F$17,6,0))=TRUE,0,($L$34+1-VLOOKUP($A22,Idiotenkegeln!$A$3:$F$17,6,0)))</f>
        <v>11</v>
      </c>
      <c r="I22">
        <f t="shared" si="6"/>
        <v>36</v>
      </c>
      <c r="K22">
        <f>IF(ISERROR($L$34+1-VLOOKUP($A22,Schweinepartie!$A$3:$H$16,8,0))=TRUE,0,($L$34+1-VLOOKUP($A22,Schweinepartie!$A$3:$H$16,8,0)))</f>
        <v>0</v>
      </c>
      <c r="L22">
        <f>IF('Große + Kleine Hausnummer'!A7="",0,1)</f>
        <v>1</v>
      </c>
      <c r="N22">
        <f>IF(ISERROR($L$34+1-VLOOKUP($A22,'Mensch-ärger-dich-nicht'!$A$3:$L$19,3,0))=TRUE,0,$L$34+1-VLOOKUP($A22,'Mensch-ärger-dich-nicht'!$A$3:$L$19,3,0))</f>
        <v>11</v>
      </c>
      <c r="O22">
        <f t="shared" si="7"/>
        <v>0</v>
      </c>
      <c r="Q22" t="str">
        <f>IF(ISERROR(SEARCH(A22,Busfahren!$H$2)),IF(ISERROR(SEARCH(A22,Busfahren!$H$3)),IF(ISERROR(SEARCH(A22,Busfahren!$H$4)),IF(ISERROR(SEARCH(A22,Busfahren!$H$5)),IF(ISERROR(SEARCH(A22,Busfahren!$H$6)),IF(ISERROR(SEARCH(A22,Busfahren!$H$7)),IF(ISERROR(SEARCH(A22,Busfahren!$H$8)),IF(ISERROR(SEARCH(A22,Busfahren!$H$9)),IF(ISERROR(SEARCH(A22,Busfahren!$H$10)),"Bus 0","Bus 9"),"Bus 8"),"Bus 7"),"Bus 6"),"Bus 5"),"Bus 4"),"Bus 3"),"Bus 2"),"Bus 1")</f>
        <v>Bus 0</v>
      </c>
      <c r="R22" t="s">
        <v>88</v>
      </c>
      <c r="S22">
        <f t="shared" si="8"/>
        <v>1</v>
      </c>
      <c r="T22">
        <f>IF(Busfahren!H5="",0,1)</f>
        <v>0</v>
      </c>
      <c r="U22" t="e">
        <f t="shared" si="9"/>
        <v>#DIV/0!</v>
      </c>
      <c r="W22">
        <f>COUNTIF(Busfahren!B5:G5, "O")</f>
        <v>0</v>
      </c>
    </row>
    <row r="23" spans="1:28" ht="18" x14ac:dyDescent="0.25">
      <c r="A23" s="2" t="s">
        <v>106</v>
      </c>
      <c r="B23">
        <f>IF(ISERROR($L$34+1-VLOOKUP($A23,'17 und 4'!$A$2:$L$18,12,0))=TRUE,0,$L$34+1-VLOOKUP($A23,'17 und 4'!$A$2:$L$18,12,0))</f>
        <v>0</v>
      </c>
      <c r="C23">
        <f>SUM(IF(ISERROR($L$34+1-VLOOKUP($A23,'Große + Kleine Hausnummer'!$A$3:$E$15,5,0))=TRUE,0,$L$34+1-VLOOKUP($A23,'Große + Kleine Hausnummer'!$A$3:$E$15,5,0)),IF(ISERROR($L$34+1-VLOOKUP($A23,'Große + Kleine Hausnummer'!$A$3:$I$15,9,0))=TRUE,0,$L$34+1-VLOOKUP($A23,'Große + Kleine Hausnummer'!$A$3:$I$15,9,0)))</f>
        <v>12</v>
      </c>
      <c r="D23">
        <f t="shared" si="3"/>
        <v>1</v>
      </c>
      <c r="E23">
        <f>IF(ISERROR(32+1-VLOOKUP($A23,'6 Tage Rennen'!$A$3:$R$16,18,0))=TRUE,0,$L$34+2-2*VLOOKUP($A23,'6 Tage Rennen'!$A$3:$R$16,18,0))</f>
        <v>0</v>
      </c>
      <c r="F23">
        <f t="shared" si="4"/>
        <v>1</v>
      </c>
      <c r="G23">
        <f t="shared" si="5"/>
        <v>0</v>
      </c>
      <c r="H23">
        <f>IF(ISERROR($L$34+1-VLOOKUP($A23,Idiotenkegeln!$A$3:$F$17,6,0))=TRUE,0,($L$34+1-VLOOKUP($A23,Idiotenkegeln!$A$3:$F$17,6,0)))</f>
        <v>11</v>
      </c>
      <c r="I23">
        <f t="shared" si="6"/>
        <v>36</v>
      </c>
      <c r="K23">
        <f>IF(ISERROR($L$34+1-VLOOKUP($A23,Schweinepartie!$A$3:$H$16,8,0))=TRUE,0,($L$34+1-VLOOKUP($A23,Schweinepartie!$A$3:$H$16,8,0)))</f>
        <v>0</v>
      </c>
      <c r="L23">
        <f>IF('Große + Kleine Hausnummer'!A8="",0,1)</f>
        <v>1</v>
      </c>
      <c r="N23">
        <f>IF(ISERROR($L$34+1-VLOOKUP($A23,'Mensch-ärger-dich-nicht'!$A$3:$L$19,3,0))=TRUE,0,$L$34+1-VLOOKUP($A23,'Mensch-ärger-dich-nicht'!$A$3:$L$19,3,0))</f>
        <v>11</v>
      </c>
      <c r="O23">
        <f t="shared" si="7"/>
        <v>0</v>
      </c>
      <c r="Q23" t="str">
        <f>IF(ISERROR(SEARCH(A23,Busfahren!$H$2)),IF(ISERROR(SEARCH(A23,Busfahren!$H$3)),IF(ISERROR(SEARCH(A23,Busfahren!$H$4)),IF(ISERROR(SEARCH(A23,Busfahren!$H$5)),IF(ISERROR(SEARCH(A23,Busfahren!$H$6)),IF(ISERROR(SEARCH(A23,Busfahren!$H$7)),IF(ISERROR(SEARCH(A23,Busfahren!$H$8)),IF(ISERROR(SEARCH(A23,Busfahren!$H$9)),IF(ISERROR(SEARCH(A23,Busfahren!$H$10)),"Bus 0","Bus 9"),"Bus 8"),"Bus 7"),"Bus 6"),"Bus 5"),"Bus 4"),"Bus 3"),"Bus 2"),"Bus 1")</f>
        <v>Bus 0</v>
      </c>
      <c r="R23" t="s">
        <v>89</v>
      </c>
      <c r="S23">
        <f t="shared" si="8"/>
        <v>1</v>
      </c>
      <c r="T23">
        <f>IF(Busfahren!H6="",0,1)</f>
        <v>0</v>
      </c>
      <c r="U23" t="e">
        <f t="shared" si="9"/>
        <v>#DIV/0!</v>
      </c>
      <c r="W23">
        <f>COUNTIF(Busfahren!B6:G6, "O")</f>
        <v>0</v>
      </c>
    </row>
    <row r="24" spans="1:28" ht="18" x14ac:dyDescent="0.25">
      <c r="A24" s="2" t="s">
        <v>8</v>
      </c>
      <c r="B24">
        <f>IF(ISERROR($L$34+1-VLOOKUP($A24,'17 und 4'!$A$2:$L$18,12,0))=TRUE,0,$L$34+1-VLOOKUP($A24,'17 und 4'!$A$2:$L$18,12,0))</f>
        <v>0</v>
      </c>
      <c r="C24">
        <f>SUM(IF(ISERROR($L$34+1-VLOOKUP($A24,'Große + Kleine Hausnummer'!$A$3:$E$15,5,0))=TRUE,0,$L$34+1-VLOOKUP($A24,'Große + Kleine Hausnummer'!$A$3:$E$15,5,0)),IF(ISERROR($L$34+1-VLOOKUP($A24,'Große + Kleine Hausnummer'!$A$3:$I$15,9,0))=TRUE,0,$L$34+1-VLOOKUP($A24,'Große + Kleine Hausnummer'!$A$3:$I$15,9,0)))</f>
        <v>12</v>
      </c>
      <c r="D24">
        <f t="shared" si="3"/>
        <v>1</v>
      </c>
      <c r="E24">
        <f>IF(ISERROR(32+1-VLOOKUP($A24,'6 Tage Rennen'!$A$3:$R$16,18,0))=TRUE,0,$L$34+2-2*VLOOKUP($A24,'6 Tage Rennen'!$A$3:$R$16,18,0))</f>
        <v>0</v>
      </c>
      <c r="F24">
        <f t="shared" si="4"/>
        <v>1</v>
      </c>
      <c r="G24">
        <f t="shared" si="5"/>
        <v>0</v>
      </c>
      <c r="H24">
        <f>IF(ISERROR($L$34+1-VLOOKUP($A24,Idiotenkegeln!$A$3:$F$17,6,0))=TRUE,0,($L$34+1-VLOOKUP($A24,Idiotenkegeln!$A$3:$F$17,6,0)))</f>
        <v>11</v>
      </c>
      <c r="I24">
        <f t="shared" si="6"/>
        <v>36</v>
      </c>
      <c r="K24">
        <f>IF(ISERROR($L$34+1-VLOOKUP($A24,Schweinepartie!$A$3:$H$16,8,0))=TRUE,0,($L$34+1-VLOOKUP($A24,Schweinepartie!$A$3:$H$16,8,0)))</f>
        <v>0</v>
      </c>
      <c r="L24">
        <f>IF('Große + Kleine Hausnummer'!A9="",0,1)</f>
        <v>1</v>
      </c>
      <c r="N24">
        <f>IF(ISERROR($L$34+1-VLOOKUP($A24,'Mensch-ärger-dich-nicht'!$A$3:$L$19,3,0))=TRUE,0,$L$34+1-VLOOKUP($A24,'Mensch-ärger-dich-nicht'!$A$3:$L$19,3,0))</f>
        <v>11</v>
      </c>
      <c r="O24">
        <f t="shared" si="7"/>
        <v>0</v>
      </c>
      <c r="Q24" t="str">
        <f>IF(ISERROR(SEARCH(A24,Busfahren!$H$2)),IF(ISERROR(SEARCH(A24,Busfahren!$H$3)),IF(ISERROR(SEARCH(A24,Busfahren!$H$4)),IF(ISERROR(SEARCH(A24,Busfahren!$H$5)),IF(ISERROR(SEARCH(A24,Busfahren!$H$6)),IF(ISERROR(SEARCH(A24,Busfahren!$H$7)),IF(ISERROR(SEARCH(A24,Busfahren!$H$8)),IF(ISERROR(SEARCH(A24,Busfahren!$H$9)),IF(ISERROR(SEARCH(A24,Busfahren!$H$10)),"Bus 0","Bus 9"),"Bus 8"),"Bus 7"),"Bus 6"),"Bus 5"),"Bus 4"),"Bus 3"),"Bus 2"),"Bus 1")</f>
        <v>Bus 0</v>
      </c>
      <c r="R24" t="s">
        <v>90</v>
      </c>
      <c r="S24">
        <f t="shared" si="8"/>
        <v>1</v>
      </c>
      <c r="T24">
        <f>IF(Busfahren!H7="",0,1)</f>
        <v>0</v>
      </c>
      <c r="U24" t="e">
        <f t="shared" si="9"/>
        <v>#DIV/0!</v>
      </c>
      <c r="W24">
        <f>COUNTIF(Busfahren!B7:G7, "O")</f>
        <v>0</v>
      </c>
    </row>
    <row r="25" spans="1:28" ht="18" x14ac:dyDescent="0.25">
      <c r="A25" s="2" t="s">
        <v>102</v>
      </c>
      <c r="B25">
        <f>IF(ISERROR($L$34+1-VLOOKUP($A25,'17 und 4'!$A$2:$L$18,12,0))=TRUE,0,$L$34+1-VLOOKUP($A25,'17 und 4'!$A$2:$L$18,12,0))</f>
        <v>0</v>
      </c>
      <c r="C25">
        <f>SUM(IF(ISERROR($L$34+1-VLOOKUP($A25,'Große + Kleine Hausnummer'!$A$3:$E$15,5,0))=TRUE,0,$L$34+1-VLOOKUP($A25,'Große + Kleine Hausnummer'!$A$3:$E$15,5,0)),IF(ISERROR($L$34+1-VLOOKUP($A25,'Große + Kleine Hausnummer'!$A$3:$I$15,9,0))=TRUE,0,$L$34+1-VLOOKUP($A25,'Große + Kleine Hausnummer'!$A$3:$I$15,9,0)))</f>
        <v>12</v>
      </c>
      <c r="D25">
        <f t="shared" si="3"/>
        <v>1</v>
      </c>
      <c r="E25">
        <f>IF(ISERROR(32+1-VLOOKUP($A25,'6 Tage Rennen'!$A$3:$R$16,18,0))=TRUE,0,$L$34+2-2*VLOOKUP($A25,'6 Tage Rennen'!$A$3:$R$16,18,0))</f>
        <v>0</v>
      </c>
      <c r="F25">
        <f t="shared" si="4"/>
        <v>1</v>
      </c>
      <c r="G25">
        <f t="shared" si="5"/>
        <v>0</v>
      </c>
      <c r="H25">
        <f>IF(ISERROR($L$34+1-VLOOKUP($A25,Idiotenkegeln!$A$3:$F$17,6,0))=TRUE,0,($L$34+1-VLOOKUP($A25,Idiotenkegeln!$A$3:$F$17,6,0)))</f>
        <v>11</v>
      </c>
      <c r="I25">
        <f t="shared" si="6"/>
        <v>36</v>
      </c>
      <c r="K25">
        <f>IF(ISERROR($L$34+1-VLOOKUP($A25,Schweinepartie!$A$3:$H$16,8,0))=TRUE,0,($L$34+1-VLOOKUP($A25,Schweinepartie!$A$3:$H$16,8,0)))</f>
        <v>0</v>
      </c>
      <c r="L25">
        <f>IF('Große + Kleine Hausnummer'!A10="",0,1)</f>
        <v>1</v>
      </c>
      <c r="N25">
        <f>IF(ISERROR($L$34+1-VLOOKUP($A25,'Mensch-ärger-dich-nicht'!$A$3:$L$19,3,0))=TRUE,0,$L$34+1-VLOOKUP($A25,'Mensch-ärger-dich-nicht'!$A$3:$L$19,3,0))</f>
        <v>11</v>
      </c>
      <c r="O25">
        <f t="shared" si="7"/>
        <v>0</v>
      </c>
      <c r="Q25" t="str">
        <f>IF(ISERROR(SEARCH(A25,Busfahren!$H$2)),IF(ISERROR(SEARCH(A25,Busfahren!$H$3)),IF(ISERROR(SEARCH(A25,Busfahren!$H$4)),IF(ISERROR(SEARCH(A25,Busfahren!$H$5)),IF(ISERROR(SEARCH(A25,Busfahren!$H$6)),IF(ISERROR(SEARCH(A25,Busfahren!$H$7)),IF(ISERROR(SEARCH(A25,Busfahren!$H$8)),IF(ISERROR(SEARCH(A25,Busfahren!$H$9)),IF(ISERROR(SEARCH(A25,Busfahren!$H$10)),"Bus 0","Bus 9"),"Bus 8"),"Bus 7"),"Bus 6"),"Bus 5"),"Bus 4"),"Bus 3"),"Bus 2"),"Bus 1")</f>
        <v>Bus 0</v>
      </c>
      <c r="R25" t="s">
        <v>91</v>
      </c>
      <c r="S25">
        <f t="shared" si="8"/>
        <v>1</v>
      </c>
      <c r="T25">
        <f>IF(Busfahren!H8="",0,1)</f>
        <v>0</v>
      </c>
      <c r="U25" t="e">
        <f t="shared" si="9"/>
        <v>#DIV/0!</v>
      </c>
      <c r="W25">
        <f>COUNTIF(Busfahren!B8:G8, "O")</f>
        <v>0</v>
      </c>
    </row>
    <row r="26" spans="1:28" ht="18" x14ac:dyDescent="0.25">
      <c r="A26" s="2" t="s">
        <v>103</v>
      </c>
      <c r="B26">
        <f>IF(ISERROR($L$34+1-VLOOKUP($A26,'17 und 4'!$A$2:$L$18,12,0))=TRUE,0,$L$34+1-VLOOKUP($A26,'17 und 4'!$A$2:$L$18,12,0))</f>
        <v>0</v>
      </c>
      <c r="C26">
        <f>SUM(IF(ISERROR($L$34+1-VLOOKUP($A26,'Große + Kleine Hausnummer'!$A$3:$E$15,5,0))=TRUE,0,$L$34+1-VLOOKUP($A26,'Große + Kleine Hausnummer'!$A$3:$E$15,5,0)),IF(ISERROR($L$34+1-VLOOKUP($A26,'Große + Kleine Hausnummer'!$A$3:$I$15,9,0))=TRUE,0,$L$34+1-VLOOKUP($A26,'Große + Kleine Hausnummer'!$A$3:$I$15,9,0)))</f>
        <v>12</v>
      </c>
      <c r="D26">
        <f t="shared" si="3"/>
        <v>1</v>
      </c>
      <c r="E26">
        <f>IF(ISERROR(32+1-VLOOKUP($A26,'6 Tage Rennen'!$A$3:$R$16,18,0))=TRUE,0,$L$34+2-2*VLOOKUP($A26,'6 Tage Rennen'!$A$3:$R$16,18,0))</f>
        <v>0</v>
      </c>
      <c r="F26">
        <f t="shared" si="4"/>
        <v>1</v>
      </c>
      <c r="G26">
        <f t="shared" si="5"/>
        <v>0</v>
      </c>
      <c r="H26">
        <f>IF(ISERROR($L$34+1-VLOOKUP($A26,Idiotenkegeln!$A$3:$F$17,6,0))=TRUE,0,($L$34+1-VLOOKUP($A26,Idiotenkegeln!$A$3:$F$17,6,0)))</f>
        <v>11</v>
      </c>
      <c r="I26">
        <f t="shared" si="6"/>
        <v>36</v>
      </c>
      <c r="K26">
        <f>IF(ISERROR($L$34+1-VLOOKUP($A26,Schweinepartie!$A$3:$H$16,8,0))=TRUE,0,($L$34+1-VLOOKUP($A26,Schweinepartie!$A$3:$H$16,8,0)))</f>
        <v>0</v>
      </c>
      <c r="L26">
        <f>IF('Große + Kleine Hausnummer'!A11="",0,1)</f>
        <v>1</v>
      </c>
      <c r="N26">
        <f>IF(ISERROR($L$34+1-VLOOKUP($A26,'Mensch-ärger-dich-nicht'!$A$3:$L$19,3,0))=TRUE,0,$L$34+1-VLOOKUP($A26,'Mensch-ärger-dich-nicht'!$A$3:$L$19,3,0))</f>
        <v>11</v>
      </c>
      <c r="O26">
        <f t="shared" si="7"/>
        <v>0</v>
      </c>
      <c r="Q26" t="str">
        <f>IF(ISERROR(SEARCH(A26,Busfahren!$H$2)),IF(ISERROR(SEARCH(A26,Busfahren!$H$3)),IF(ISERROR(SEARCH(A26,Busfahren!$H$4)),IF(ISERROR(SEARCH(A26,Busfahren!$H$5)),IF(ISERROR(SEARCH(A26,Busfahren!$H$6)),IF(ISERROR(SEARCH(A26,Busfahren!$H$7)),IF(ISERROR(SEARCH(A26,Busfahren!$H$8)),IF(ISERROR(SEARCH(A26,Busfahren!$H$9)),IF(ISERROR(SEARCH(A26,Busfahren!$H$10)),"Bus 0","Bus 9"),"Bus 8"),"Bus 7"),"Bus 6"),"Bus 5"),"Bus 4"),"Bus 3"),"Bus 2"),"Bus 1")</f>
        <v>Bus 0</v>
      </c>
      <c r="R26" t="s">
        <v>92</v>
      </c>
      <c r="S26">
        <f t="shared" si="8"/>
        <v>1</v>
      </c>
      <c r="T26">
        <f>IF(Busfahren!H9="",0,1)</f>
        <v>0</v>
      </c>
      <c r="U26" t="e">
        <f t="shared" si="9"/>
        <v>#DIV/0!</v>
      </c>
      <c r="W26">
        <f>COUNTIF(Busfahren!B9:G9, "O")</f>
        <v>0</v>
      </c>
    </row>
    <row r="27" spans="1:28" ht="18" x14ac:dyDescent="0.25">
      <c r="A27" s="2" t="s">
        <v>65</v>
      </c>
      <c r="B27">
        <f>IF(ISERROR($L$34+1-VLOOKUP($A27,'17 und 4'!$A$2:$L$18,12,0))=TRUE,0,$L$34+1-VLOOKUP($A27,'17 und 4'!$A$2:$L$18,12,0))</f>
        <v>0</v>
      </c>
      <c r="C27">
        <f>SUM(IF(ISERROR($L$34+1-VLOOKUP($A27,'Große + Kleine Hausnummer'!$A$3:$E$15,5,0))=TRUE,0,$L$34+1-VLOOKUP($A27,'Große + Kleine Hausnummer'!$A$3:$E$15,5,0)),IF(ISERROR($L$34+1-VLOOKUP($A27,'Große + Kleine Hausnummer'!$A$3:$I$15,9,0))=TRUE,0,$L$34+1-VLOOKUP($A27,'Große + Kleine Hausnummer'!$A$3:$I$15,9,0)))</f>
        <v>12</v>
      </c>
      <c r="D27">
        <f t="shared" si="3"/>
        <v>1</v>
      </c>
      <c r="E27">
        <f>IF(ISERROR(32+1-VLOOKUP($A27,'6 Tage Rennen'!$A$3:$R$16,18,0))=TRUE,0,$L$34+2-2*VLOOKUP($A27,'6 Tage Rennen'!$A$3:$R$16,18,0))</f>
        <v>0</v>
      </c>
      <c r="F27">
        <f t="shared" si="4"/>
        <v>1</v>
      </c>
      <c r="G27">
        <f t="shared" si="5"/>
        <v>0</v>
      </c>
      <c r="H27">
        <f>IF(ISERROR($L$34+1-VLOOKUP($A27,Idiotenkegeln!$A$3:$F$17,6,0))=TRUE,0,($L$34+1-VLOOKUP($A27,Idiotenkegeln!$A$3:$F$17,6,0)))</f>
        <v>11</v>
      </c>
      <c r="I27">
        <f t="shared" si="6"/>
        <v>36</v>
      </c>
      <c r="K27">
        <f>IF(ISERROR($L$34+1-VLOOKUP($A27,Schweinepartie!$A$3:$H$16,8,0))=TRUE,0,($L$34+1-VLOOKUP($A27,Schweinepartie!$A$3:$H$16,8,0)))</f>
        <v>0</v>
      </c>
      <c r="L27">
        <f>IF('Große + Kleine Hausnummer'!A12="",0,1)</f>
        <v>1</v>
      </c>
      <c r="N27">
        <f>IF(ISERROR($L$34+1-VLOOKUP($A27,'Mensch-ärger-dich-nicht'!$A$3:$L$19,3,0))=TRUE,0,$L$34+1-VLOOKUP($A27,'Mensch-ärger-dich-nicht'!$A$3:$L$19,3,0))</f>
        <v>11</v>
      </c>
      <c r="O27">
        <f t="shared" si="7"/>
        <v>0</v>
      </c>
      <c r="Q27" t="str">
        <f>IF(ISERROR(SEARCH(A27,Busfahren!$H$2)),IF(ISERROR(SEARCH(A27,Busfahren!$H$3)),IF(ISERROR(SEARCH(A27,Busfahren!$H$4)),IF(ISERROR(SEARCH(A27,Busfahren!$H$5)),IF(ISERROR(SEARCH(A27,Busfahren!$H$6)),IF(ISERROR(SEARCH(A27,Busfahren!$H$7)),IF(ISERROR(SEARCH(A27,Busfahren!$H$8)),IF(ISERROR(SEARCH(A27,Busfahren!$H$9)),IF(ISERROR(SEARCH(A27,Busfahren!$H$10)),"Bus 0","Bus 9"),"Bus 8"),"Bus 7"),"Bus 6"),"Bus 5"),"Bus 4"),"Bus 3"),"Bus 2"),"Bus 1")</f>
        <v>Bus 0</v>
      </c>
      <c r="R27" t="s">
        <v>93</v>
      </c>
      <c r="S27">
        <f t="shared" si="8"/>
        <v>1</v>
      </c>
      <c r="T27">
        <f>IF(Busfahren!H10="",0,1)</f>
        <v>0</v>
      </c>
      <c r="U27" t="e">
        <f t="shared" si="9"/>
        <v>#DIV/0!</v>
      </c>
      <c r="W27">
        <f>COUNTIF(Busfahren!B10:G10, "O")</f>
        <v>0</v>
      </c>
    </row>
    <row r="28" spans="1:28" ht="18" x14ac:dyDescent="0.25">
      <c r="A28" s="2" t="s">
        <v>5</v>
      </c>
      <c r="B28">
        <f>IF(ISERROR($L$34+1-VLOOKUP($A28,'17 und 4'!$A$2:$L$18,12,0))=TRUE,0,$L$34+1-VLOOKUP($A28,'17 und 4'!$A$2:$L$18,12,0))</f>
        <v>0</v>
      </c>
      <c r="C28">
        <f>SUM(IF(ISERROR($L$34+1-VLOOKUP($A28,'Große + Kleine Hausnummer'!$A$3:$E$15,5,0))=TRUE,0,$L$34+1-VLOOKUP($A28,'Große + Kleine Hausnummer'!$A$3:$E$15,5,0)),IF(ISERROR($L$34+1-VLOOKUP($A28,'Große + Kleine Hausnummer'!$A$3:$I$15,9,0))=TRUE,0,$L$34+1-VLOOKUP($A28,'Große + Kleine Hausnummer'!$A$3:$I$15,9,0)))</f>
        <v>12</v>
      </c>
      <c r="D28">
        <f t="shared" si="3"/>
        <v>1</v>
      </c>
      <c r="E28">
        <f>IF(ISERROR(32+1-VLOOKUP($A28,'6 Tage Rennen'!$A$3:$R$16,18,0))=TRUE,0,$L$34+2-2*VLOOKUP($A28,'6 Tage Rennen'!$A$3:$R$16,18,0))</f>
        <v>0</v>
      </c>
      <c r="F28">
        <f t="shared" si="4"/>
        <v>1</v>
      </c>
      <c r="G28">
        <f t="shared" si="5"/>
        <v>0</v>
      </c>
      <c r="H28">
        <f>IF(ISERROR($L$34+1-VLOOKUP($A28,Idiotenkegeln!$A$3:$F$17,6,0))=TRUE,0,($L$34+1-VLOOKUP($A28,Idiotenkegeln!$A$3:$F$17,6,0)))</f>
        <v>11</v>
      </c>
      <c r="I28">
        <f t="shared" si="6"/>
        <v>36</v>
      </c>
      <c r="K28">
        <f>IF(ISERROR($L$34+1-VLOOKUP($A28,Schweinepartie!$A$3:$H$16,8,0))=TRUE,0,($L$34+1-VLOOKUP($A28,Schweinepartie!$A$3:$H$16,8,0)))</f>
        <v>0</v>
      </c>
      <c r="L28">
        <f>IF('Große + Kleine Hausnummer'!A13="",0,1)</f>
        <v>1</v>
      </c>
      <c r="N28">
        <f>IF(ISERROR($L$34+1-VLOOKUP($A28,'Mensch-ärger-dich-nicht'!$A$3:$L$19,3,0))=TRUE,0,$L$34+1-VLOOKUP($A28,'Mensch-ärger-dich-nicht'!$A$3:$L$19,3,0))</f>
        <v>11</v>
      </c>
      <c r="O28">
        <f t="shared" si="7"/>
        <v>0</v>
      </c>
      <c r="Q28" t="str">
        <f>IF(ISERROR(SEARCH(A28,Busfahren!$H$2)),IF(ISERROR(SEARCH(A28,Busfahren!$H$3)),IF(ISERROR(SEARCH(A28,Busfahren!$H$4)),IF(ISERROR(SEARCH(A28,Busfahren!$H$5)),IF(ISERROR(SEARCH(A28,Busfahren!$H$6)),IF(ISERROR(SEARCH(A28,Busfahren!$H$7)),IF(ISERROR(SEARCH(A28,Busfahren!$H$8)),IF(ISERROR(SEARCH(A28,Busfahren!$H$9)),IF(ISERROR(SEARCH(A28,Busfahren!$H$10)),"Bus 0","Bus 9"),"Bus 8"),"Bus 7"),"Bus 6"),"Bus 5"),"Bus 4"),"Bus 3"),"Bus 2"),"Bus 1")</f>
        <v>Bus 0</v>
      </c>
      <c r="R28" t="s">
        <v>100</v>
      </c>
      <c r="S28">
        <v>9</v>
      </c>
      <c r="T28" t="e">
        <f>L34/SUM(T19:T27)</f>
        <v>#DIV/0!</v>
      </c>
      <c r="U28">
        <v>0</v>
      </c>
      <c r="W28">
        <f>COUNTIF(Busfahren!B11:G11, "O")</f>
        <v>0</v>
      </c>
    </row>
    <row r="29" spans="1:28" ht="18" x14ac:dyDescent="0.25">
      <c r="A29" s="2"/>
      <c r="B29">
        <f>IF(ISERROR($L$34+1-VLOOKUP($A29,'17 und 4'!$A$2:$L$18,12,0))=TRUE,0,$L$34+1-VLOOKUP($A29,'17 und 4'!$A$2:$L$18,12,0))</f>
        <v>0</v>
      </c>
      <c r="C29">
        <f>SUM(IF(ISERROR($L$34+1-VLOOKUP($A29,'Große + Kleine Hausnummer'!$A$3:$E$15,5,0))=TRUE,0,$L$34+1-VLOOKUP($A29,'Große + Kleine Hausnummer'!$A$3:$E$15,5,0)),IF(ISERROR($L$34+1-VLOOKUP($A29,'Große + Kleine Hausnummer'!$A$3:$I$15,9,0))=TRUE,0,$L$34+1-VLOOKUP($A29,'Große + Kleine Hausnummer'!$A$3:$I$15,9,0)))</f>
        <v>0</v>
      </c>
      <c r="D29">
        <f t="shared" si="3"/>
        <v>0</v>
      </c>
      <c r="E29">
        <f>IF(ISERROR(32+1-VLOOKUP($A29,'6 Tage Rennen'!$A$3:$R$16,18,0))=TRUE,0,$L$34+2-2*VLOOKUP($A29,'6 Tage Rennen'!$A$3:$R$16,18,0))</f>
        <v>0</v>
      </c>
      <c r="F29">
        <f t="shared" si="4"/>
        <v>0</v>
      </c>
      <c r="G29">
        <f t="shared" si="5"/>
        <v>1</v>
      </c>
      <c r="H29">
        <f>IF(ISERROR($L$34+1-VLOOKUP($A29,Idiotenkegeln!$A$3:$F$17,6,0))=TRUE,0,($L$34+1-VLOOKUP($A29,Idiotenkegeln!$A$3:$F$17,6,0)))</f>
        <v>0</v>
      </c>
      <c r="I29">
        <f t="shared" si="6"/>
        <v>1</v>
      </c>
      <c r="K29">
        <f>IF(ISERROR($L$34+1-VLOOKUP($A29,Schweinepartie!$A$3:$H$16,8,0))=TRUE,0,($L$34+1-VLOOKUP($A29,Schweinepartie!$A$3:$H$16,8,0)))</f>
        <v>0</v>
      </c>
      <c r="L29">
        <f>IF('Große + Kleine Hausnummer'!A14="",0,1)</f>
        <v>0</v>
      </c>
      <c r="N29">
        <f>IF(ISERROR($L$34+1-VLOOKUP($A29,'Mensch-ärger-dich-nicht'!$A$3:$L$19,3,0))=TRUE,0,$L$34+1-VLOOKUP($A29,'Mensch-ärger-dich-nicht'!$A$3:$L$19,3,0))</f>
        <v>0</v>
      </c>
      <c r="O29">
        <f t="shared" si="7"/>
        <v>0</v>
      </c>
      <c r="Q29" t="str">
        <f>IF(ISERROR(SEARCH(A29,Busfahren!$H$2)),IF(ISERROR(SEARCH(A29,Busfahren!$H$3)),IF(ISERROR(SEARCH(A29,Busfahren!$H$4)),IF(ISERROR(SEARCH(A29,Busfahren!$H$5)),IF(ISERROR(SEARCH(A29,Busfahren!$H$6)),IF(ISERROR(SEARCH(A29,Busfahren!$H$7)),IF(ISERROR(SEARCH(A29,Busfahren!$H$8)),IF(ISERROR(SEARCH(A29,Busfahren!$H$9)),IF(ISERROR(SEARCH(A29,Busfahren!$H$10)),"Bus 0","Bus 9"),"Bus 8"),"Bus 7"),"Bus 6"),"Bus 5"),"Bus 4"),"Bus 3"),"Bus 2"),"Bus 1")</f>
        <v>Bus 0</v>
      </c>
    </row>
    <row r="30" spans="1:28" ht="18" x14ac:dyDescent="0.25">
      <c r="A30" s="2"/>
      <c r="B30">
        <f>IF(ISERROR($L$34+1-VLOOKUP($A30,'17 und 4'!$A$2:$L$18,12,0))=TRUE,0,$L$34+1-VLOOKUP($A30,'17 und 4'!$A$2:$L$18,12,0))</f>
        <v>0</v>
      </c>
      <c r="C30">
        <f>SUM(IF(ISERROR($L$34+1-VLOOKUP($A30,'Große + Kleine Hausnummer'!$A$3:$E$15,5,0))=TRUE,0,$L$34+1-VLOOKUP($A30,'Große + Kleine Hausnummer'!$A$3:$E$15,5,0)),IF(ISERROR($L$34+1-VLOOKUP($A30,'Große + Kleine Hausnummer'!$A$3:$I$15,9,0))=TRUE,0,$L$34+1-VLOOKUP($A30,'Große + Kleine Hausnummer'!$A$3:$I$15,9,0)))</f>
        <v>0</v>
      </c>
      <c r="D30">
        <f t="shared" si="3"/>
        <v>0</v>
      </c>
      <c r="E30">
        <f>IF(ISERROR(32+1-VLOOKUP($A30,'6 Tage Rennen'!$A$3:$R$16,18,0))=TRUE,0,$L$34+2-2*VLOOKUP($A30,'6 Tage Rennen'!$A$3:$R$16,18,0))</f>
        <v>0</v>
      </c>
      <c r="F30">
        <f t="shared" si="4"/>
        <v>0</v>
      </c>
      <c r="G30">
        <f t="shared" si="5"/>
        <v>1</v>
      </c>
      <c r="H30">
        <f>IF(ISERROR($L$34+1-VLOOKUP($A30,Idiotenkegeln!$A$3:$F$17,6,0))=TRUE,0,($L$34+1-VLOOKUP($A30,Idiotenkegeln!$A$3:$F$17,6,0)))</f>
        <v>0</v>
      </c>
      <c r="I30">
        <f t="shared" si="6"/>
        <v>1</v>
      </c>
      <c r="K30">
        <f>IF(ISERROR($L$34+1-VLOOKUP($A30,Schweinepartie!$A$3:$H$16,8,0))=TRUE,0,($L$34+1-VLOOKUP($A30,Schweinepartie!$A$3:$H$16,8,0)))</f>
        <v>0</v>
      </c>
      <c r="L30">
        <f>IF('Große + Kleine Hausnummer'!A15="",0,1)</f>
        <v>0</v>
      </c>
      <c r="N30">
        <f>IF(ISERROR($L$34+1-VLOOKUP($A30,'Mensch-ärger-dich-nicht'!$A$3:$L$19,3,0))=TRUE,0,$L$34+1-VLOOKUP($A30,'Mensch-ärger-dich-nicht'!$A$3:$L$19,3,0))</f>
        <v>0</v>
      </c>
      <c r="O30">
        <f t="shared" si="7"/>
        <v>0</v>
      </c>
      <c r="Q30" t="str">
        <f>IF(ISERROR(SEARCH(A30,Busfahren!$H$2)),IF(ISERROR(SEARCH(A30,Busfahren!$H$3)),IF(ISERROR(SEARCH(A30,Busfahren!$H$4)),IF(ISERROR(SEARCH(A30,Busfahren!$H$5)),IF(ISERROR(SEARCH(A30,Busfahren!$H$6)),IF(ISERROR(SEARCH(A30,Busfahren!$H$7)),IF(ISERROR(SEARCH(A30,Busfahren!$H$8)),IF(ISERROR(SEARCH(A30,Busfahren!$H$9)),IF(ISERROR(SEARCH(A30,Busfahren!$H$10)),"Bus 0","Bus 9"),"Bus 8"),"Bus 7"),"Bus 6"),"Bus 5"),"Bus 4"),"Bus 3"),"Bus 2"),"Bus 1")</f>
        <v>Bus 0</v>
      </c>
    </row>
    <row r="31" spans="1:28" x14ac:dyDescent="0.25">
      <c r="B31">
        <f>IF(ISERROR($L$34+1-VLOOKUP($A31,'17 und 4'!$A$2:$L$18,12,0))=TRUE,0,$L$34+1-VLOOKUP($A31,'17 und 4'!$A$2:$L$18,12,0))</f>
        <v>0</v>
      </c>
      <c r="C31">
        <f>SUM(IF(ISERROR($L$34+1-VLOOKUP($A31,'Große + Kleine Hausnummer'!$A$3:$E$15,5,0))=TRUE,0,$L$34+1-VLOOKUP($A31,'Große + Kleine Hausnummer'!$A$3:$E$15,5,0)),IF(ISERROR($L$34+1-VLOOKUP($A31,'Große + Kleine Hausnummer'!$A$3:$I$15,9,0))=TRUE,0,$L$34+1-VLOOKUP($A31,'Große + Kleine Hausnummer'!$A$3:$I$15,9,0)))</f>
        <v>0</v>
      </c>
      <c r="D31">
        <f t="shared" si="3"/>
        <v>0</v>
      </c>
      <c r="E31">
        <f>IF(ISERROR(32+1-VLOOKUP($A31,'6 Tage Rennen'!$A$3:$R$16,18,0))=TRUE,0,$L$34+2-2*VLOOKUP($A31,'6 Tage Rennen'!$A$3:$R$16,18,0))</f>
        <v>0</v>
      </c>
      <c r="F31">
        <f t="shared" si="4"/>
        <v>0</v>
      </c>
      <c r="G31">
        <f t="shared" si="5"/>
        <v>1</v>
      </c>
      <c r="H31">
        <f>IF(ISERROR($L$34+1-VLOOKUP($A31,Idiotenkegeln!$A$3:$F$17,6,0))=TRUE,0,($L$34+1-VLOOKUP($A31,Idiotenkegeln!$A$3:$F$17,6,0)))</f>
        <v>0</v>
      </c>
      <c r="I31">
        <f t="shared" ref="I31:I33" si="10">SUM(B31:H31,K31,N31)</f>
        <v>1</v>
      </c>
      <c r="K31">
        <f>IF(ISERROR($L$34+1-VLOOKUP($A31,Schweinepartie!$A$3:$H$16,8,0))=TRUE,0,($L$34+1-VLOOKUP($A31,Schweinepartie!$A$3:$H$16,8,0)))</f>
        <v>0</v>
      </c>
      <c r="L31">
        <f>IF('Große + Kleine Hausnummer'!A16="",0,1)</f>
        <v>0</v>
      </c>
      <c r="N31">
        <f>IF(ISERROR($L$34+1-VLOOKUP($A31,'Mensch-ärger-dich-nicht'!$A$3:$L$19,3,0))=TRUE,0,$L$34+1-VLOOKUP($A31,'Mensch-ärger-dich-nicht'!$A$3:$L$19,3,0))</f>
        <v>0</v>
      </c>
    </row>
    <row r="32" spans="1:28" ht="18" x14ac:dyDescent="0.25">
      <c r="A32" s="2"/>
      <c r="B32">
        <f>IF(ISERROR($L$34+1-VLOOKUP($A32,'17 und 4'!$A$2:$L$18,12,0))=TRUE,0,$L$34+1-VLOOKUP($A32,'17 und 4'!$A$2:$L$18,12,0))</f>
        <v>0</v>
      </c>
      <c r="C32">
        <f>SUM(IF(ISERROR($L$34+1-VLOOKUP($A32,'Große + Kleine Hausnummer'!$A$3:$E$15,5,0))=TRUE,0,$L$34+1-VLOOKUP($A32,'Große + Kleine Hausnummer'!$A$3:$E$15,5,0)),IF(ISERROR($L$34+1-VLOOKUP($A32,'Große + Kleine Hausnummer'!$A$3:$I$15,9,0))=TRUE,0,$L$34+1-VLOOKUP($A32,'Große + Kleine Hausnummer'!$A$3:$I$15,9,0)))</f>
        <v>0</v>
      </c>
      <c r="D32">
        <f t="shared" si="3"/>
        <v>0</v>
      </c>
      <c r="E32">
        <f>IF(ISERROR(32+1-VLOOKUP($A32,'6 Tage Rennen'!$A$3:$R$16,18,0))=TRUE,0,$L$34+2-2*VLOOKUP($A32,'6 Tage Rennen'!$A$3:$R$16,18,0))</f>
        <v>0</v>
      </c>
      <c r="F32">
        <f t="shared" si="4"/>
        <v>0</v>
      </c>
      <c r="G32">
        <f t="shared" si="5"/>
        <v>1</v>
      </c>
      <c r="H32">
        <f>IF(ISERROR($L$34+1-VLOOKUP($A32,Idiotenkegeln!$A$3:$F$17,6,0))=TRUE,0,($L$34+1-VLOOKUP($A32,Idiotenkegeln!$A$3:$F$17,6,0)))</f>
        <v>0</v>
      </c>
      <c r="I32">
        <f t="shared" si="10"/>
        <v>1</v>
      </c>
      <c r="K32">
        <f>IF(ISERROR($L$34+1-VLOOKUP($A32,Schweinepartie!$A$3:$H$16,8,0))=TRUE,0,($L$34+1-VLOOKUP($A32,Schweinepartie!$A$3:$H$16,8,0)))</f>
        <v>0</v>
      </c>
      <c r="L32">
        <f>IF('Große + Kleine Hausnummer'!A17="",0,1)</f>
        <v>0</v>
      </c>
      <c r="N32">
        <f>IF(ISERROR($L$34+1-VLOOKUP($A32,'Mensch-ärger-dich-nicht'!$A$3:$L$19,3,0))=TRUE,0,$L$34+1-VLOOKUP($A32,'Mensch-ärger-dich-nicht'!$A$3:$L$19,3,0))</f>
        <v>0</v>
      </c>
    </row>
    <row r="33" spans="1:15" ht="18" x14ac:dyDescent="0.25">
      <c r="A33" s="2"/>
      <c r="B33">
        <f>IF(ISERROR($L$34+1-VLOOKUP($A33,'17 und 4'!$A$2:$L$18,12,0))=TRUE,0,$L$34+1-VLOOKUP($A33,'17 und 4'!$A$2:$L$18,12,0))</f>
        <v>0</v>
      </c>
      <c r="C33">
        <f>SUM(IF(ISERROR($L$34+1-VLOOKUP($A33,'Große + Kleine Hausnummer'!$A$3:$E$15,5,0))=TRUE,0,$L$34+1-VLOOKUP($A33,'Große + Kleine Hausnummer'!$A$3:$E$15,5,0)),IF(ISERROR($L$34+1-VLOOKUP($A33,'Große + Kleine Hausnummer'!$A$3:$I$15,9,0))=TRUE,0,$L$34+1-VLOOKUP($A33,'Große + Kleine Hausnummer'!$A$3:$I$15,9,0)))</f>
        <v>0</v>
      </c>
      <c r="D33">
        <f t="shared" si="3"/>
        <v>0</v>
      </c>
      <c r="E33">
        <f>IF(ISERROR(32+1-VLOOKUP($A33,'6 Tage Rennen'!$A$3:$R$16,18,0))=TRUE,0,$L$34+2-2*VLOOKUP($A33,'6 Tage Rennen'!$A$3:$R$16,18,0))</f>
        <v>0</v>
      </c>
      <c r="F33">
        <f t="shared" si="4"/>
        <v>0</v>
      </c>
      <c r="G33">
        <f t="shared" si="5"/>
        <v>1</v>
      </c>
      <c r="H33">
        <f>IF(ISERROR($L$34+1-VLOOKUP($A33,Idiotenkegeln!$A$3:$F$17,6,0))=TRUE,0,($L$34+1-VLOOKUP($A33,Idiotenkegeln!$A$3:$F$17,6,0)))</f>
        <v>0</v>
      </c>
      <c r="I33">
        <f t="shared" si="10"/>
        <v>1</v>
      </c>
      <c r="K33">
        <f>IF(ISERROR($L$34+1-VLOOKUP($A33,Schweinepartie!$A$3:$H$16,8,0))=TRUE,0,($L$34+1-VLOOKUP($A33,Schweinepartie!$A$3:$H$16,8,0)))</f>
        <v>0</v>
      </c>
      <c r="L33">
        <f>IF('Große + Kleine Hausnummer'!A18="",0,1)</f>
        <v>0</v>
      </c>
      <c r="N33">
        <f>IF(ISERROR($L$34+1-VLOOKUP($A33,'Mensch-ärger-dich-nicht'!$A$3:$L$19,3,0))=TRUE,0,$L$34+1-VLOOKUP($A33,'Mensch-ärger-dich-nicht'!$A$3:$L$19,3,0))</f>
        <v>0</v>
      </c>
    </row>
    <row r="34" spans="1:15" x14ac:dyDescent="0.25">
      <c r="D34" t="s">
        <v>73</v>
      </c>
      <c r="E34" t="s">
        <v>74</v>
      </c>
      <c r="G34" t="s">
        <v>75</v>
      </c>
      <c r="L34">
        <f>SUM(L18:L33)</f>
        <v>11</v>
      </c>
    </row>
    <row r="35" spans="1:15" x14ac:dyDescent="0.25">
      <c r="D35">
        <f>IF((VLOOKUP(A18,Fuchs!$A$2:$O$14,15,0))="J",1,$L$34)</f>
        <v>11</v>
      </c>
      <c r="E35" t="e">
        <f>IF((VLOOKUP(A18,Einsacken!A3:P16,16,0))="J",1,$L$34)</f>
        <v>#N/A</v>
      </c>
      <c r="G35">
        <f>Tannenbaum!A3</f>
        <v>0</v>
      </c>
      <c r="H35">
        <f>Tannenbaum!G3</f>
        <v>0</v>
      </c>
      <c r="I35">
        <f t="shared" ref="I35:I52" si="11">IF((VLOOKUP(G35,$G$35:$H$52,2,0))="J",1,$L$34)</f>
        <v>11</v>
      </c>
      <c r="K35" t="s">
        <v>71</v>
      </c>
    </row>
    <row r="36" spans="1:15" x14ac:dyDescent="0.25">
      <c r="D36">
        <f>IF((VLOOKUP(A19,Fuchs!$A$2:$O$14,15,0))="J",1,$L$34)</f>
        <v>11</v>
      </c>
      <c r="E36">
        <f>IF((VLOOKUP(A19,Fuchs!$A$2:$O$14,15,0))="J",1,$L$34)</f>
        <v>11</v>
      </c>
      <c r="G36">
        <f>Tannenbaum!A4</f>
        <v>0</v>
      </c>
      <c r="H36">
        <f>Tannenbaum!G4</f>
        <v>0</v>
      </c>
      <c r="I36">
        <f t="shared" si="11"/>
        <v>11</v>
      </c>
      <c r="K36">
        <f>IF(Schweinepartie!$A3="",10,Schweinepartie!B3)</f>
        <v>10</v>
      </c>
      <c r="L36">
        <f>IF(Schweinepartie!$A3="",10,Schweinepartie!C3)</f>
        <v>10</v>
      </c>
      <c r="M36">
        <f>IF(Schweinepartie!$A3="",10,Schweinepartie!D3)</f>
        <v>10</v>
      </c>
      <c r="N36">
        <f>IF(Schweinepartie!$A3="",10,Schweinepartie!E3)</f>
        <v>10</v>
      </c>
      <c r="O36">
        <f>IF(Schweinepartie!$A3="",10,Schweinepartie!F3)</f>
        <v>10</v>
      </c>
    </row>
    <row r="37" spans="1:15" x14ac:dyDescent="0.25">
      <c r="D37">
        <f>IF((VLOOKUP(A20,Fuchs!$A$2:$O$14,15,0))="J",1,$L$34)</f>
        <v>11</v>
      </c>
      <c r="E37">
        <f>IF((VLOOKUP(A20,Fuchs!$A$2:$O$14,15,0))="J",1,$L$34)</f>
        <v>11</v>
      </c>
      <c r="G37">
        <f>Tannenbaum!A5</f>
        <v>0</v>
      </c>
      <c r="H37">
        <f>Tannenbaum!G5</f>
        <v>0</v>
      </c>
      <c r="I37">
        <f t="shared" si="11"/>
        <v>11</v>
      </c>
      <c r="K37">
        <f>IF(Schweinepartie!A4="",10,Schweinepartie!B4)</f>
        <v>10</v>
      </c>
      <c r="L37">
        <f>IF(Schweinepartie!$A4="",10,Schweinepartie!C4)</f>
        <v>10</v>
      </c>
      <c r="M37">
        <f>IF(Schweinepartie!$A4="",10,Schweinepartie!D4)</f>
        <v>10</v>
      </c>
      <c r="N37">
        <f>IF(Schweinepartie!$A4="",10,Schweinepartie!E4)</f>
        <v>10</v>
      </c>
      <c r="O37">
        <f>IF(Schweinepartie!$A4="",10,Schweinepartie!F4)</f>
        <v>10</v>
      </c>
    </row>
    <row r="38" spans="1:15" x14ac:dyDescent="0.25">
      <c r="D38">
        <f>IF((VLOOKUP(A21,Fuchs!$A$2:$O$14,15,0))="J",1,$L$34)</f>
        <v>11</v>
      </c>
      <c r="E38">
        <f>IF((VLOOKUP(A21,Fuchs!$A$2:$O$14,15,0))="J",1,$L$34)</f>
        <v>11</v>
      </c>
      <c r="G38">
        <f>Tannenbaum!A6</f>
        <v>0</v>
      </c>
      <c r="H38">
        <f>Tannenbaum!G6</f>
        <v>0</v>
      </c>
      <c r="I38">
        <f t="shared" si="11"/>
        <v>11</v>
      </c>
      <c r="K38">
        <f>IF(Schweinepartie!A5="",10,Schweinepartie!B5)</f>
        <v>10</v>
      </c>
      <c r="L38">
        <f>IF(Schweinepartie!$A5="",10,Schweinepartie!C5)</f>
        <v>10</v>
      </c>
      <c r="M38">
        <f>IF(Schweinepartie!$A5="",10,Schweinepartie!D5)</f>
        <v>10</v>
      </c>
      <c r="N38">
        <f>IF(Schweinepartie!$A5="",10,Schweinepartie!E5)</f>
        <v>10</v>
      </c>
      <c r="O38">
        <f>IF(Schweinepartie!$A5="",10,Schweinepartie!F5)</f>
        <v>10</v>
      </c>
    </row>
    <row r="39" spans="1:15" x14ac:dyDescent="0.25">
      <c r="D39">
        <f>IF((VLOOKUP(A22,Fuchs!$A$2:$O$14,15,0))="J",1,$L$34)</f>
        <v>11</v>
      </c>
      <c r="E39">
        <f>IF((VLOOKUP(A22,Fuchs!$A$2:$O$14,15,0))="J",1,$L$34)</f>
        <v>11</v>
      </c>
      <c r="G39">
        <f>Tannenbaum!A7</f>
        <v>0</v>
      </c>
      <c r="H39">
        <f>Tannenbaum!G7</f>
        <v>0</v>
      </c>
      <c r="I39">
        <f t="shared" si="11"/>
        <v>11</v>
      </c>
      <c r="K39">
        <f>IF(Schweinepartie!A6="",10,Schweinepartie!B6)</f>
        <v>10</v>
      </c>
      <c r="L39">
        <f>IF(Schweinepartie!$A6="",10,Schweinepartie!C6)</f>
        <v>10</v>
      </c>
      <c r="M39">
        <f>IF(Schweinepartie!$A6="",10,Schweinepartie!D6)</f>
        <v>10</v>
      </c>
      <c r="N39">
        <f>IF(Schweinepartie!$A6="",10,Schweinepartie!E6)</f>
        <v>10</v>
      </c>
      <c r="O39">
        <f>IF(Schweinepartie!$A6="",10,Schweinepartie!F6)</f>
        <v>10</v>
      </c>
    </row>
    <row r="40" spans="1:15" x14ac:dyDescent="0.25">
      <c r="D40">
        <f>IF((VLOOKUP(A23,Fuchs!$A$2:$O$14,15,0))="J",1,$L$34)</f>
        <v>11</v>
      </c>
      <c r="E40">
        <f>IF((VLOOKUP(A23,Fuchs!$A$2:$O$14,15,0))="J",1,$L$34)</f>
        <v>11</v>
      </c>
      <c r="G40">
        <f>Tannenbaum!A8</f>
        <v>0</v>
      </c>
      <c r="H40">
        <f>Tannenbaum!G8</f>
        <v>0</v>
      </c>
      <c r="I40">
        <f t="shared" si="11"/>
        <v>11</v>
      </c>
      <c r="K40">
        <f>IF(Schweinepartie!A7="",10,Schweinepartie!B7)</f>
        <v>10</v>
      </c>
      <c r="L40">
        <f>IF(Schweinepartie!$A7="",10,Schweinepartie!C7)</f>
        <v>10</v>
      </c>
      <c r="M40">
        <f>IF(Schweinepartie!$A7="",10,Schweinepartie!D7)</f>
        <v>10</v>
      </c>
      <c r="N40">
        <f>IF(Schweinepartie!$A7="",10,Schweinepartie!E7)</f>
        <v>10</v>
      </c>
      <c r="O40">
        <f>IF(Schweinepartie!$A7="",10,Schweinepartie!F7)</f>
        <v>10</v>
      </c>
    </row>
    <row r="41" spans="1:15" x14ac:dyDescent="0.25">
      <c r="D41">
        <f>IF((VLOOKUP(A24,Fuchs!$A$2:$O$14,15,0))="J",1,$L$34)</f>
        <v>11</v>
      </c>
      <c r="E41">
        <f>IF((VLOOKUP(A24,Fuchs!$A$2:$O$14,15,0))="J",1,$L$34)</f>
        <v>11</v>
      </c>
      <c r="G41">
        <f>Tannenbaum!H3</f>
        <v>0</v>
      </c>
      <c r="H41">
        <f>Tannenbaum!G9</f>
        <v>0</v>
      </c>
      <c r="I41">
        <f t="shared" si="11"/>
        <v>11</v>
      </c>
      <c r="K41">
        <f>IF(Schweinepartie!A8="",10,Schweinepartie!B8)</f>
        <v>10</v>
      </c>
      <c r="L41">
        <f>IF(Schweinepartie!$A8="",10,Schweinepartie!C8)</f>
        <v>10</v>
      </c>
      <c r="M41">
        <f>IF(Schweinepartie!$A8="",10,Schweinepartie!D8)</f>
        <v>10</v>
      </c>
      <c r="N41">
        <f>IF(Schweinepartie!$A8="",10,Schweinepartie!E8)</f>
        <v>10</v>
      </c>
      <c r="O41">
        <f>IF(Schweinepartie!$A8="",10,Schweinepartie!F8)</f>
        <v>10</v>
      </c>
    </row>
    <row r="42" spans="1:15" x14ac:dyDescent="0.25">
      <c r="D42">
        <f>IF((VLOOKUP(A25,Fuchs!$A$2:$O$14,15,0))="J",1,$L$34)</f>
        <v>11</v>
      </c>
      <c r="E42">
        <f>IF((VLOOKUP(A25,Fuchs!$A$2:$O$14,15,0))="J",1,$L$34)</f>
        <v>11</v>
      </c>
      <c r="G42">
        <f>Tannenbaum!H4</f>
        <v>0</v>
      </c>
      <c r="H42">
        <f>Tannenbaum!G10</f>
        <v>0</v>
      </c>
      <c r="I42">
        <f t="shared" si="11"/>
        <v>11</v>
      </c>
      <c r="K42">
        <f>IF(Schweinepartie!A9="",10,Schweinepartie!B9)</f>
        <v>10</v>
      </c>
      <c r="L42">
        <f>IF(Schweinepartie!$A9="",10,Schweinepartie!C9)</f>
        <v>10</v>
      </c>
      <c r="M42">
        <f>IF(Schweinepartie!$A9="",10,Schweinepartie!D9)</f>
        <v>10</v>
      </c>
      <c r="N42">
        <f>IF(Schweinepartie!$A9="",10,Schweinepartie!E9)</f>
        <v>10</v>
      </c>
      <c r="O42">
        <f>IF(Schweinepartie!$A9="",10,Schweinepartie!F9)</f>
        <v>10</v>
      </c>
    </row>
    <row r="43" spans="1:15" x14ac:dyDescent="0.25">
      <c r="D43">
        <f>IF((VLOOKUP(A26,Fuchs!$A$2:$O$14,15,0))="J",1,$L$34)</f>
        <v>11</v>
      </c>
      <c r="E43">
        <f>IF((VLOOKUP(A26,Fuchs!$A$2:$O$14,15,0))="J",1,$L$34)</f>
        <v>11</v>
      </c>
      <c r="G43">
        <f>Tannenbaum!H5</f>
        <v>0</v>
      </c>
      <c r="H43">
        <f>Tannenbaum!G11</f>
        <v>0</v>
      </c>
      <c r="I43">
        <f t="shared" si="11"/>
        <v>11</v>
      </c>
      <c r="K43">
        <f>IF(Schweinepartie!A10="",10,Schweinepartie!B10)</f>
        <v>10</v>
      </c>
      <c r="L43">
        <f>IF(Schweinepartie!$A10="",10,Schweinepartie!C10)</f>
        <v>10</v>
      </c>
      <c r="M43">
        <f>IF(Schweinepartie!$A10="",10,Schweinepartie!D10)</f>
        <v>10</v>
      </c>
      <c r="N43">
        <f>IF(Schweinepartie!$A10="",10,Schweinepartie!E10)</f>
        <v>10</v>
      </c>
      <c r="O43">
        <f>IF(Schweinepartie!$A10="",10,Schweinepartie!F10)</f>
        <v>10</v>
      </c>
    </row>
    <row r="44" spans="1:15" x14ac:dyDescent="0.25">
      <c r="D44">
        <f>IF((VLOOKUP(A27,Fuchs!$A$2:$O$14,15,0))="J",1,$L$34)</f>
        <v>11</v>
      </c>
      <c r="E44">
        <f>IF((VLOOKUP(A27,Fuchs!$A$2:$O$14,15,0))="J",1,$L$34)</f>
        <v>11</v>
      </c>
      <c r="G44">
        <f>Tannenbaum!H3</f>
        <v>0</v>
      </c>
      <c r="H44">
        <f>Tannenbaum!N3</f>
        <v>0</v>
      </c>
      <c r="I44">
        <f t="shared" si="11"/>
        <v>11</v>
      </c>
      <c r="K44">
        <f>IF(Schweinepartie!A11="",10,Schweinepartie!B11)</f>
        <v>10</v>
      </c>
      <c r="L44">
        <f>IF(Schweinepartie!$A11="",10,Schweinepartie!C11)</f>
        <v>10</v>
      </c>
      <c r="M44">
        <f>IF(Schweinepartie!$A11="",10,Schweinepartie!D11)</f>
        <v>10</v>
      </c>
      <c r="N44">
        <f>IF(Schweinepartie!$A11="",10,Schweinepartie!E11)</f>
        <v>10</v>
      </c>
      <c r="O44">
        <f>IF(Schweinepartie!$A11="",10,Schweinepartie!F11)</f>
        <v>10</v>
      </c>
    </row>
    <row r="45" spans="1:15" x14ac:dyDescent="0.25">
      <c r="D45">
        <f>IF((VLOOKUP(A28,Fuchs!$A$2:$O$14,15,0))="J",1,$L$34)</f>
        <v>11</v>
      </c>
      <c r="E45">
        <f>IF((VLOOKUP(A28,Fuchs!$A$2:$O$14,15,0))="J",1,$L$34)</f>
        <v>11</v>
      </c>
      <c r="G45">
        <f>Tannenbaum!H4</f>
        <v>0</v>
      </c>
      <c r="H45">
        <f>Tannenbaum!N4</f>
        <v>0</v>
      </c>
      <c r="I45">
        <f t="shared" si="11"/>
        <v>11</v>
      </c>
      <c r="K45">
        <f>IF(Schweinepartie!A12="",10,Schweinepartie!B12)</f>
        <v>10</v>
      </c>
      <c r="L45">
        <f>IF(Schweinepartie!$A12="",10,Schweinepartie!C12)</f>
        <v>10</v>
      </c>
      <c r="M45">
        <f>IF(Schweinepartie!$A12="",10,Schweinepartie!D12)</f>
        <v>10</v>
      </c>
      <c r="N45">
        <f>IF(Schweinepartie!$A12="",10,Schweinepartie!E12)</f>
        <v>10</v>
      </c>
      <c r="O45">
        <f>IF(Schweinepartie!$A12="",10,Schweinepartie!F12)</f>
        <v>10</v>
      </c>
    </row>
    <row r="46" spans="1:15" x14ac:dyDescent="0.25">
      <c r="D46" t="e">
        <f>IF((VLOOKUP(A29,Fuchs!$A$2:$O$14,15,0))="J",1,$L$34)</f>
        <v>#N/A</v>
      </c>
      <c r="E46" t="e">
        <f>IF((VLOOKUP(A29,Fuchs!$A$2:$O$14,15,0))="J",1,$L$34)</f>
        <v>#N/A</v>
      </c>
      <c r="G46">
        <f>Tannenbaum!H5</f>
        <v>0</v>
      </c>
      <c r="H46">
        <f>Tannenbaum!N5</f>
        <v>0</v>
      </c>
      <c r="I46">
        <f t="shared" si="11"/>
        <v>11</v>
      </c>
      <c r="K46">
        <f>IF(Schweinepartie!A13="",10,Schweinepartie!B13)</f>
        <v>10</v>
      </c>
      <c r="L46">
        <f>IF(Schweinepartie!$A13="",10,Schweinepartie!C13)</f>
        <v>10</v>
      </c>
      <c r="M46">
        <f>IF(Schweinepartie!$A13="",10,Schweinepartie!D13)</f>
        <v>10</v>
      </c>
      <c r="N46">
        <f>IF(Schweinepartie!$A13="",10,Schweinepartie!E13)</f>
        <v>10</v>
      </c>
      <c r="O46">
        <f>IF(Schweinepartie!$A13="",10,Schweinepartie!F13)</f>
        <v>10</v>
      </c>
    </row>
    <row r="47" spans="1:15" x14ac:dyDescent="0.25">
      <c r="D47" t="e">
        <f>IF((VLOOKUP(A30,Fuchs!$A$2:$O$14,15,0))="J",1,$L$34)</f>
        <v>#N/A</v>
      </c>
      <c r="E47" t="e">
        <f>IF((VLOOKUP(A30,Fuchs!$A$2:$O$14,15,0))="J",1,$L$34)</f>
        <v>#N/A</v>
      </c>
      <c r="G47">
        <f>Tannenbaum!H6</f>
        <v>0</v>
      </c>
      <c r="H47">
        <f>Tannenbaum!N6</f>
        <v>0</v>
      </c>
      <c r="I47">
        <f t="shared" si="11"/>
        <v>11</v>
      </c>
      <c r="K47">
        <f>IF(Schweinepartie!A14="",10,Schweinepartie!B14)</f>
        <v>10</v>
      </c>
      <c r="L47">
        <f>IF(Schweinepartie!$A14="",10,Schweinepartie!C14)</f>
        <v>10</v>
      </c>
      <c r="M47">
        <f>IF(Schweinepartie!$A14="",10,Schweinepartie!D14)</f>
        <v>10</v>
      </c>
      <c r="N47">
        <f>IF(Schweinepartie!$A14="",10,Schweinepartie!E14)</f>
        <v>10</v>
      </c>
      <c r="O47">
        <f>IF(Schweinepartie!$A14="",10,Schweinepartie!F14)</f>
        <v>10</v>
      </c>
    </row>
    <row r="48" spans="1:15" x14ac:dyDescent="0.25">
      <c r="D48" t="e">
        <f>IF((VLOOKUP(A31,Fuchs!$A$2:$O$14,15,0))="J",1,$L$34)</f>
        <v>#N/A</v>
      </c>
      <c r="E48" t="e">
        <f>IF((VLOOKUP(A31,Fuchs!$A$2:$O$14,15,0))="J",1,$L$34)</f>
        <v>#N/A</v>
      </c>
      <c r="G48">
        <f>Tannenbaum!H7</f>
        <v>0</v>
      </c>
      <c r="H48">
        <f>Tannenbaum!N7</f>
        <v>0</v>
      </c>
      <c r="I48">
        <f t="shared" si="11"/>
        <v>11</v>
      </c>
      <c r="K48">
        <f>IF(Schweinepartie!A15="",10,Schweinepartie!B15)</f>
        <v>10</v>
      </c>
      <c r="L48">
        <f>IF(Schweinepartie!$A15="",10,Schweinepartie!C15)</f>
        <v>10</v>
      </c>
      <c r="M48">
        <f>IF(Schweinepartie!$A15="",10,Schweinepartie!D15)</f>
        <v>10</v>
      </c>
      <c r="N48">
        <f>IF(Schweinepartie!$A15="",10,Schweinepartie!E15)</f>
        <v>10</v>
      </c>
      <c r="O48">
        <f>IF(Schweinepartie!$A15="",10,Schweinepartie!F15)</f>
        <v>10</v>
      </c>
    </row>
    <row r="49" spans="1:15" x14ac:dyDescent="0.25">
      <c r="D49" t="e">
        <f>IF((VLOOKUP(A32,Fuchs!$A$2:$O$14,15,0))="J",1,$L$34)</f>
        <v>#N/A</v>
      </c>
      <c r="E49" t="e">
        <f>IF((VLOOKUP(A32,Fuchs!$A$2:$O$14,15,0))="J",1,$L$34)</f>
        <v>#N/A</v>
      </c>
      <c r="G49">
        <f>Tannenbaum!H8</f>
        <v>0</v>
      </c>
      <c r="H49">
        <f>Tannenbaum!N8</f>
        <v>0</v>
      </c>
      <c r="I49">
        <f t="shared" si="11"/>
        <v>11</v>
      </c>
      <c r="K49">
        <f>IF(Schweinepartie!A16="",10,Schweinepartie!B16)</f>
        <v>10</v>
      </c>
      <c r="L49">
        <f>IF(Schweinepartie!$A16="",10,Schweinepartie!C16)</f>
        <v>10</v>
      </c>
      <c r="M49">
        <f>IF(Schweinepartie!$A16="",10,Schweinepartie!D16)</f>
        <v>10</v>
      </c>
      <c r="N49">
        <f>IF(Schweinepartie!$A16="",10,Schweinepartie!E16)</f>
        <v>10</v>
      </c>
      <c r="O49">
        <f>IF(Schweinepartie!$A16="",10,Schweinepartie!F16)</f>
        <v>10</v>
      </c>
    </row>
    <row r="50" spans="1:15" x14ac:dyDescent="0.25">
      <c r="D50" t="e">
        <f>IF((VLOOKUP(A33,Fuchs!$A$2:$O$14,15,0))="J",1,$L$34)</f>
        <v>#N/A</v>
      </c>
      <c r="E50" t="e">
        <f>IF((VLOOKUP(A33,Fuchs!$A$2:$O$14,15,0))="J",1,$L$34)</f>
        <v>#N/A</v>
      </c>
      <c r="G50">
        <f>Tannenbaum!H9</f>
        <v>0</v>
      </c>
      <c r="H50">
        <f>Tannenbaum!N9</f>
        <v>0</v>
      </c>
      <c r="I50">
        <f t="shared" si="11"/>
        <v>11</v>
      </c>
    </row>
    <row r="51" spans="1:15" x14ac:dyDescent="0.25">
      <c r="G51">
        <f>Tannenbaum!H10</f>
        <v>0</v>
      </c>
      <c r="H51">
        <f>Tannenbaum!N10</f>
        <v>0</v>
      </c>
      <c r="I51">
        <f t="shared" si="11"/>
        <v>11</v>
      </c>
    </row>
    <row r="52" spans="1:15" x14ac:dyDescent="0.25">
      <c r="G52">
        <f>Tannenbaum!H11</f>
        <v>0</v>
      </c>
      <c r="H52">
        <f>Tannenbaum!N11</f>
        <v>0</v>
      </c>
      <c r="I52">
        <f t="shared" si="11"/>
        <v>11</v>
      </c>
    </row>
    <row r="54" spans="1:15" x14ac:dyDescent="0.25">
      <c r="A54" t="s">
        <v>76</v>
      </c>
      <c r="B54" t="s">
        <v>77</v>
      </c>
      <c r="C54" t="s">
        <v>78</v>
      </c>
      <c r="D54" t="s">
        <v>79</v>
      </c>
      <c r="J54" t="s">
        <v>80</v>
      </c>
      <c r="O54" t="s">
        <v>81</v>
      </c>
    </row>
    <row r="55" spans="1:15" x14ac:dyDescent="0.25">
      <c r="I55" t="str">
        <f>Kegelbuch!A3</f>
        <v>Michael</v>
      </c>
      <c r="J55" s="57">
        <f>IF(OR(EXACT(Kegelbuch!A3,Schweinepartie!$B$17),EXACT(Kegelbuch!A3,Schweinepartie!$B$18),EXACT(Kegelbuch!A3,Schweinepartie!$B$19),EXACT(Kegelbuch!A3,Schweinepartie!$B$20)),0.2,0)</f>
        <v>0</v>
      </c>
      <c r="K55" s="57">
        <f>IF(OR(EXACT(Kegelbuch!A3,Schweinepartie!$C$17),EXACT(Kegelbuch!A3,Schweinepartie!$C$18),EXACT(Kegelbuch!A3,Schweinepartie!$C$19),EXACT(Kegelbuch!A3,Schweinepartie!$C$20)),0.4,0)</f>
        <v>0</v>
      </c>
      <c r="L55" s="57" t="b">
        <f>IF(OR(EXACT(Kegelbuch!A3,Schweinepartie!$D$17),EXACT(Kegelbuch!A3,Schweinepartie!$D$18),EXACT(Kegelbuch!A3,Schweinepartie!$D$19),EXACT(Kegelbuch!A3,Schweinepartie!$D$20)),0.6)</f>
        <v>0</v>
      </c>
      <c r="M55" s="57" t="b">
        <f>IF(OR(EXACT(Kegelbuch!A3,Schweinepartie!$E$17),EXACT(Kegelbuch!A3,Schweinepartie!$E$18),EXACT(Kegelbuch!A3,Schweinepartie!$E$19),EXACT(Kegelbuch!A3,Schweinepartie!$E$20)),0.8)</f>
        <v>0</v>
      </c>
      <c r="N55" s="57">
        <f>IF(OR(EXACT(Kegelbuch!A3,Schweinepartie!$F$17),EXACT(Kegelbuch!A3,Schweinepartie!$F$18),EXACT(Kegelbuch!A3,Schweinepartie!$F$19),EXACT(Kegelbuch!A3,Schweinepartie!$F$20)),1,0)</f>
        <v>0</v>
      </c>
      <c r="O55">
        <f t="shared" ref="O55:O68" si="12">SUM(J55:N55)</f>
        <v>0</v>
      </c>
    </row>
    <row r="56" spans="1:15" x14ac:dyDescent="0.25">
      <c r="I56" t="str">
        <f>Kegelbuch!A4</f>
        <v>Hilde</v>
      </c>
      <c r="J56" s="57">
        <f>IF(OR(EXACT(Kegelbuch!A4,Schweinepartie!$B$17),EXACT(Kegelbuch!A4,Schweinepartie!$B$18),EXACT(Kegelbuch!A4,Schweinepartie!$B$19),EXACT(Kegelbuch!A4,Schweinepartie!$B$20)),0.2,0)</f>
        <v>0</v>
      </c>
      <c r="K56" s="57">
        <f>IF(OR(EXACT(Kegelbuch!A4,Schweinepartie!$C$17),EXACT(Kegelbuch!A4,Schweinepartie!$C$18),EXACT(Kegelbuch!A4,Schweinepartie!$C$19),EXACT(Kegelbuch!A4,Schweinepartie!$C$20)),0.4,0)</f>
        <v>0</v>
      </c>
      <c r="L56" s="57" t="b">
        <f>IF(OR(EXACT(Kegelbuch!A4,Schweinepartie!$D$17),EXACT(Kegelbuch!A4,Schweinepartie!$D$18),EXACT(Kegelbuch!A4,Schweinepartie!$D$19),EXACT(Kegelbuch!A4,Schweinepartie!$D$20)),0.6)</f>
        <v>0</v>
      </c>
      <c r="M56" s="57" t="b">
        <f>IF(OR(EXACT(Kegelbuch!A4,Schweinepartie!$E$17),EXACT(Kegelbuch!A4,Schweinepartie!$E$18),EXACT(Kegelbuch!A4,Schweinepartie!$E$19),EXACT(Kegelbuch!A4,Schweinepartie!$E$20)),0.8)</f>
        <v>0</v>
      </c>
      <c r="N56" s="57">
        <f>IF(OR(EXACT(Kegelbuch!A4,Schweinepartie!$F$17),EXACT(Kegelbuch!A4,Schweinepartie!$F$18),EXACT(Kegelbuch!A4,Schweinepartie!$F$19),EXACT(Kegelbuch!A4,Schweinepartie!$F$20)),1,0)</f>
        <v>0</v>
      </c>
      <c r="O56">
        <f t="shared" si="12"/>
        <v>0</v>
      </c>
    </row>
    <row r="57" spans="1:15" x14ac:dyDescent="0.25">
      <c r="I57" t="str">
        <f>Kegelbuch!A5</f>
        <v>Peter</v>
      </c>
      <c r="J57" s="57">
        <f>IF(OR(EXACT(Kegelbuch!A5,Schweinepartie!$B$17),EXACT(Kegelbuch!A5,Schweinepartie!$B$18),EXACT(Kegelbuch!A5,Schweinepartie!$B$19),EXACT(Kegelbuch!A5,Schweinepartie!$B$20)),0.2,0)</f>
        <v>0</v>
      </c>
      <c r="K57" s="57">
        <f>IF(OR(EXACT(Kegelbuch!A5,Schweinepartie!$C$17),EXACT(Kegelbuch!A5,Schweinepartie!$C$18),EXACT(Kegelbuch!A5,Schweinepartie!$C$19),EXACT(Kegelbuch!A5,Schweinepartie!$C$20)),0.4,0)</f>
        <v>0</v>
      </c>
      <c r="L57" s="57" t="b">
        <f>IF(OR(EXACT(Kegelbuch!A5,Schweinepartie!$D$17),EXACT(Kegelbuch!A5,Schweinepartie!$D$18),EXACT(Kegelbuch!A5,Schweinepartie!$D$19),EXACT(Kegelbuch!A5,Schweinepartie!$D$20)),0.6)</f>
        <v>0</v>
      </c>
      <c r="M57" s="57" t="b">
        <f>IF(OR(EXACT(Kegelbuch!A5,Schweinepartie!$E$17),EXACT(Kegelbuch!A5,Schweinepartie!$E$18),EXACT(Kegelbuch!A5,Schweinepartie!$E$19),EXACT(Kegelbuch!A5,Schweinepartie!$E$20)),0.8)</f>
        <v>0</v>
      </c>
      <c r="N57" s="57">
        <f>IF(OR(EXACT(Kegelbuch!A5,Schweinepartie!$F$17),EXACT(Kegelbuch!A5,Schweinepartie!$F$18),EXACT(Kegelbuch!A5,Schweinepartie!$F$19),EXACT(Kegelbuch!A5,Schweinepartie!$F$20)),1,0)</f>
        <v>0</v>
      </c>
      <c r="O57">
        <f t="shared" si="12"/>
        <v>0</v>
      </c>
    </row>
    <row r="58" spans="1:15" x14ac:dyDescent="0.25">
      <c r="I58" t="str">
        <f>Kegelbuch!A6</f>
        <v>Brigitte</v>
      </c>
      <c r="J58" s="57">
        <f>IF(OR(EXACT(Kegelbuch!A6,Schweinepartie!$B$17),EXACT(Kegelbuch!A6,Schweinepartie!$B$18),EXACT(Kegelbuch!A6,Schweinepartie!$B$19),EXACT(Kegelbuch!A6,Schweinepartie!$B$20)),0.2,0)</f>
        <v>0</v>
      </c>
      <c r="K58" s="57">
        <f>IF(OR(EXACT(Kegelbuch!A6,Schweinepartie!$C$17),EXACT(Kegelbuch!A6,Schweinepartie!$C$18),EXACT(Kegelbuch!A6,Schweinepartie!$C$19),EXACT(Kegelbuch!A6,Schweinepartie!$C$20)),0.4,0)</f>
        <v>0</v>
      </c>
      <c r="L58" s="57" t="b">
        <f>IF(OR(EXACT(Kegelbuch!A6,Schweinepartie!$D$17),EXACT(Kegelbuch!A6,Schweinepartie!$D$18),EXACT(Kegelbuch!A6,Schweinepartie!$D$19),EXACT(Kegelbuch!A6,Schweinepartie!$D$20)),0.6)</f>
        <v>0</v>
      </c>
      <c r="M58" s="57" t="b">
        <f>IF(OR(EXACT(Kegelbuch!A6,Schweinepartie!$E$17),EXACT(Kegelbuch!A6,Schweinepartie!$E$18),EXACT(Kegelbuch!A6,Schweinepartie!$E$19),EXACT(Kegelbuch!A6,Schweinepartie!$E$20)),0.8)</f>
        <v>0</v>
      </c>
      <c r="N58" s="57">
        <f>IF(OR(EXACT(Kegelbuch!A6,Schweinepartie!$F$17),EXACT(Kegelbuch!A6,Schweinepartie!$F$18),EXACT(Kegelbuch!A6,Schweinepartie!$F$19),EXACT(Kegelbuch!A6,Schweinepartie!$F$20)),1,0)</f>
        <v>0</v>
      </c>
      <c r="O58">
        <f t="shared" si="12"/>
        <v>0</v>
      </c>
    </row>
    <row r="59" spans="1:15" x14ac:dyDescent="0.25">
      <c r="I59" t="str">
        <f>Kegelbuch!A7</f>
        <v>Elke</v>
      </c>
      <c r="J59" s="57">
        <f>IF(OR(EXACT(Kegelbuch!A7,Schweinepartie!$B$17),EXACT(Kegelbuch!A7,Schweinepartie!$B$18),EXACT(Kegelbuch!A7,Schweinepartie!$B$19),EXACT(Kegelbuch!A7,Schweinepartie!$B$20)),0.2,0)</f>
        <v>0</v>
      </c>
      <c r="K59" s="57">
        <f>IF(OR(EXACT(Kegelbuch!A7,Schweinepartie!$C$17),EXACT(Kegelbuch!A7,Schweinepartie!$C$18),EXACT(Kegelbuch!A7,Schweinepartie!$C$19),EXACT(Kegelbuch!A7,Schweinepartie!$C$20)),0.4,0)</f>
        <v>0</v>
      </c>
      <c r="L59" s="57" t="b">
        <f>IF(OR(EXACT(Kegelbuch!A7,Schweinepartie!$D$17),EXACT(Kegelbuch!A7,Schweinepartie!$D$18),EXACT(Kegelbuch!A7,Schweinepartie!$D$19),EXACT(Kegelbuch!A7,Schweinepartie!$D$20)),0.6)</f>
        <v>0</v>
      </c>
      <c r="M59" s="57" t="b">
        <f>IF(OR(EXACT(Kegelbuch!A7,Schweinepartie!$E$17),EXACT(Kegelbuch!A7,Schweinepartie!$E$18),EXACT(Kegelbuch!A7,Schweinepartie!$E$19),EXACT(Kegelbuch!A7,Schweinepartie!$E$20)),0.8)</f>
        <v>0</v>
      </c>
      <c r="N59" s="57">
        <f>IF(OR(EXACT(Kegelbuch!A7,Schweinepartie!$F$17),EXACT(Kegelbuch!A7,Schweinepartie!$F$18),EXACT(Kegelbuch!A7,Schweinepartie!$F$19),EXACT(Kegelbuch!A7,Schweinepartie!$F$20)),1,0)</f>
        <v>0</v>
      </c>
      <c r="O59">
        <f t="shared" si="12"/>
        <v>0</v>
      </c>
    </row>
    <row r="60" spans="1:15" x14ac:dyDescent="0.25">
      <c r="I60" t="str">
        <f>Kegelbuch!A8</f>
        <v>Gerhard</v>
      </c>
      <c r="J60" s="57">
        <f>IF(OR(EXACT(Kegelbuch!A8,Schweinepartie!$B$17),EXACT(Kegelbuch!A8,Schweinepartie!$B$18),EXACT(Kegelbuch!A8,Schweinepartie!$B$19),EXACT(Kegelbuch!A8,Schweinepartie!$B$20)),0.2,0)</f>
        <v>0</v>
      </c>
      <c r="K60" s="57">
        <f>IF(OR(EXACT(Kegelbuch!A8,Schweinepartie!$C$17),EXACT(Kegelbuch!A8,Schweinepartie!$C$18),EXACT(Kegelbuch!A8,Schweinepartie!$C$19),EXACT(Kegelbuch!A8,Schweinepartie!$C$20)),0.4,0)</f>
        <v>0</v>
      </c>
      <c r="L60" s="57" t="b">
        <f>IF(OR(EXACT(Kegelbuch!A8,Schweinepartie!$D$17),EXACT(Kegelbuch!A8,Schweinepartie!$D$18),EXACT(Kegelbuch!A8,Schweinepartie!$D$19),EXACT(Kegelbuch!A8,Schweinepartie!$D$20)),0.6)</f>
        <v>0</v>
      </c>
      <c r="M60" s="57" t="b">
        <f>IF(OR(EXACT(Kegelbuch!A8,Schweinepartie!$E$17),EXACT(Kegelbuch!A8,Schweinepartie!$E$18),EXACT(Kegelbuch!A8,Schweinepartie!$E$19),EXACT(Kegelbuch!A8,Schweinepartie!$E$20)),0.8)</f>
        <v>0</v>
      </c>
      <c r="N60" s="57">
        <f>IF(OR(EXACT(Kegelbuch!A8,Schweinepartie!$F$17),EXACT(Kegelbuch!A8,Schweinepartie!$F$18),EXACT(Kegelbuch!A8,Schweinepartie!$F$19),EXACT(Kegelbuch!A8,Schweinepartie!$F$20)),1,0)</f>
        <v>0</v>
      </c>
      <c r="O60">
        <f t="shared" si="12"/>
        <v>0</v>
      </c>
    </row>
    <row r="61" spans="1:15" x14ac:dyDescent="0.25">
      <c r="I61" t="str">
        <f>Kegelbuch!A9</f>
        <v>Helga</v>
      </c>
      <c r="J61" s="57">
        <f>IF(OR(EXACT(Kegelbuch!A9,Schweinepartie!$B$17),EXACT(Kegelbuch!A9,Schweinepartie!$B$18),EXACT(Kegelbuch!A9,Schweinepartie!$B$19),EXACT(Kegelbuch!A9,Schweinepartie!$B$20)),0.2,0)</f>
        <v>0</v>
      </c>
      <c r="K61" s="57">
        <f>IF(OR(EXACT(Kegelbuch!A9,Schweinepartie!$C$17),EXACT(Kegelbuch!A9,Schweinepartie!$C$18),EXACT(Kegelbuch!A9,Schweinepartie!$C$19),EXACT(Kegelbuch!A9,Schweinepartie!$C$20)),0.4,0)</f>
        <v>0</v>
      </c>
      <c r="L61" s="57" t="b">
        <f>IF(OR(EXACT(Kegelbuch!A9,Schweinepartie!$D$17),EXACT(Kegelbuch!A9,Schweinepartie!$D$18),EXACT(Kegelbuch!A9,Schweinepartie!$D$19),EXACT(Kegelbuch!A9,Schweinepartie!$D$20)),0.6)</f>
        <v>0</v>
      </c>
      <c r="M61" s="57" t="b">
        <f>IF(OR(EXACT(Kegelbuch!A9,Schweinepartie!$E$17),EXACT(Kegelbuch!A9,Schweinepartie!$E$18),EXACT(Kegelbuch!A9,Schweinepartie!$E$19),EXACT(Kegelbuch!A9,Schweinepartie!$E$20)),0.8)</f>
        <v>0</v>
      </c>
      <c r="N61" s="57">
        <f>IF(OR(EXACT(Kegelbuch!A9,Schweinepartie!$F$17),EXACT(Kegelbuch!A9,Schweinepartie!$F$18),EXACT(Kegelbuch!A9,Schweinepartie!$F$19),EXACT(Kegelbuch!A9,Schweinepartie!$F$20)),1,0)</f>
        <v>0</v>
      </c>
      <c r="O61">
        <f t="shared" si="12"/>
        <v>0</v>
      </c>
    </row>
    <row r="62" spans="1:15" x14ac:dyDescent="0.25">
      <c r="I62" t="str">
        <f>Kegelbuch!A10</f>
        <v>Birgit</v>
      </c>
      <c r="J62" s="57">
        <f>IF(OR(EXACT(Kegelbuch!A10,Schweinepartie!$B$17),EXACT(Kegelbuch!A10,Schweinepartie!$B$18),EXACT(Kegelbuch!A10,Schweinepartie!$B$19),EXACT(Kegelbuch!A10,Schweinepartie!$B$20)),0.2,0)</f>
        <v>0</v>
      </c>
      <c r="K62" s="57">
        <f>IF(OR(EXACT(Kegelbuch!A10,Schweinepartie!$C$17),EXACT(Kegelbuch!A10,Schweinepartie!$C$18),EXACT(Kegelbuch!A10,Schweinepartie!$C$19),EXACT(Kegelbuch!A10,Schweinepartie!$C$20)),0.4,0)</f>
        <v>0</v>
      </c>
      <c r="L62" s="57" t="b">
        <f>IF(OR(EXACT(Kegelbuch!A10,Schweinepartie!$D$17),EXACT(Kegelbuch!A10,Schweinepartie!$D$18),EXACT(Kegelbuch!A10,Schweinepartie!$D$19),EXACT(Kegelbuch!A10,Schweinepartie!$D$20)),0.6)</f>
        <v>0</v>
      </c>
      <c r="M62" s="57" t="b">
        <f>IF(OR(EXACT(Kegelbuch!A10,Schweinepartie!$E$17),EXACT(Kegelbuch!A10,Schweinepartie!$E$18),EXACT(Kegelbuch!A10,Schweinepartie!$E$19),EXACT(Kegelbuch!A10,Schweinepartie!$E$20)),0.8)</f>
        <v>0</v>
      </c>
      <c r="N62" s="57">
        <f>IF(OR(EXACT(Kegelbuch!A10,Schweinepartie!$F$17),EXACT(Kegelbuch!A10,Schweinepartie!$F$18),EXACT(Kegelbuch!A10,Schweinepartie!$F$19),EXACT(Kegelbuch!A10,Schweinepartie!$F$20)),1,0)</f>
        <v>0</v>
      </c>
      <c r="O62">
        <f t="shared" si="12"/>
        <v>0</v>
      </c>
    </row>
    <row r="63" spans="1:15" x14ac:dyDescent="0.25">
      <c r="I63" t="str">
        <f>Kegelbuch!A11</f>
        <v>Jo</v>
      </c>
      <c r="J63" s="57">
        <f>IF(OR(EXACT(Kegelbuch!A11,Schweinepartie!$B$17),EXACT(Kegelbuch!A11,Schweinepartie!$B$18),EXACT(Kegelbuch!A11,Schweinepartie!$B$19),EXACT(Kegelbuch!A11,Schweinepartie!$B$20)),0.2,0)</f>
        <v>0</v>
      </c>
      <c r="K63" s="57">
        <f>IF(OR(EXACT(Kegelbuch!A11,Schweinepartie!$C$17),EXACT(Kegelbuch!A11,Schweinepartie!$C$18),EXACT(Kegelbuch!A11,Schweinepartie!$C$19),EXACT(Kegelbuch!A11,Schweinepartie!$C$20)),0.4,0)</f>
        <v>0</v>
      </c>
      <c r="L63" s="57" t="b">
        <f>IF(OR(EXACT(Kegelbuch!A11,Schweinepartie!$D$17),EXACT(Kegelbuch!A11,Schweinepartie!$D$18),EXACT(Kegelbuch!A11,Schweinepartie!$D$19),EXACT(Kegelbuch!A11,Schweinepartie!$D$20)),0.6)</f>
        <v>0</v>
      </c>
      <c r="M63" s="57" t="b">
        <f>IF(OR(EXACT(Kegelbuch!A11,Schweinepartie!$E$17),EXACT(Kegelbuch!A11,Schweinepartie!$E$18),EXACT(Kegelbuch!A11,Schweinepartie!$E$19),EXACT(Kegelbuch!A11,Schweinepartie!$E$20)),0.8)</f>
        <v>0</v>
      </c>
      <c r="N63" s="57">
        <f>IF(OR(EXACT(Kegelbuch!A11,Schweinepartie!$F$17),EXACT(Kegelbuch!A11,Schweinepartie!$F$18),EXACT(Kegelbuch!A11,Schweinepartie!$F$19),EXACT(Kegelbuch!A11,Schweinepartie!$F$20)),1,0)</f>
        <v>0</v>
      </c>
      <c r="O63">
        <f t="shared" si="12"/>
        <v>0</v>
      </c>
    </row>
    <row r="64" spans="1:15" x14ac:dyDescent="0.25">
      <c r="I64" t="str">
        <f>Kegelbuch!A12</f>
        <v>Svenja</v>
      </c>
      <c r="J64" s="57">
        <f>IF(OR(EXACT(Kegelbuch!A12,Schweinepartie!$B$17),EXACT(Kegelbuch!A12,Schweinepartie!$B$18),EXACT(Kegelbuch!A12,Schweinepartie!$B$19),EXACT(Kegelbuch!A12,Schweinepartie!$B$20)),0.2,0)</f>
        <v>0</v>
      </c>
      <c r="K64" s="57">
        <f>IF(OR(EXACT(Kegelbuch!A12,Schweinepartie!$C$17),EXACT(Kegelbuch!A12,Schweinepartie!$C$18),EXACT(Kegelbuch!A12,Schweinepartie!$C$19),EXACT(Kegelbuch!A12,Schweinepartie!$C$20)),0.4,0)</f>
        <v>0</v>
      </c>
      <c r="L64" s="57" t="b">
        <f>IF(OR(EXACT(Kegelbuch!A12,Schweinepartie!$D$17),EXACT(Kegelbuch!A12,Schweinepartie!$D$18),EXACT(Kegelbuch!A12,Schweinepartie!$D$19),EXACT(Kegelbuch!A12,Schweinepartie!$D$20)),0.6)</f>
        <v>0</v>
      </c>
      <c r="M64" s="57" t="b">
        <f>IF(OR(EXACT(Kegelbuch!A12,Schweinepartie!$E$17),EXACT(Kegelbuch!A12,Schweinepartie!$E$18),EXACT(Kegelbuch!A12,Schweinepartie!$E$19),EXACT(Kegelbuch!A12,Schweinepartie!$E$20)),0.8)</f>
        <v>0</v>
      </c>
      <c r="N64" s="57">
        <f>IF(OR(EXACT(Kegelbuch!A12,Schweinepartie!$F$17),EXACT(Kegelbuch!A12,Schweinepartie!$F$18),EXACT(Kegelbuch!A12,Schweinepartie!$F$19),EXACT(Kegelbuch!A12,Schweinepartie!$F$20)),1,0)</f>
        <v>0</v>
      </c>
      <c r="O64">
        <f t="shared" si="12"/>
        <v>0</v>
      </c>
    </row>
    <row r="65" spans="5:15" x14ac:dyDescent="0.25">
      <c r="I65" t="str">
        <f>Kegelbuch!A13</f>
        <v>Marius</v>
      </c>
      <c r="J65" s="57">
        <f>IF(OR(EXACT(Kegelbuch!A13,Schweinepartie!$B$17),EXACT(Kegelbuch!A13,Schweinepartie!$B$18),EXACT(Kegelbuch!A13,Schweinepartie!$B$19),EXACT(Kegelbuch!A13,Schweinepartie!$B$20)),0.2,0)</f>
        <v>0</v>
      </c>
      <c r="K65" s="57">
        <f>IF(OR(EXACT(Kegelbuch!A13,Schweinepartie!$C$17),EXACT(Kegelbuch!A13,Schweinepartie!$C$18),EXACT(Kegelbuch!A13,Schweinepartie!$C$19),EXACT(Kegelbuch!A13,Schweinepartie!$C$20)),0.4,0)</f>
        <v>0</v>
      </c>
      <c r="L65" s="57" t="b">
        <f>IF(OR(EXACT(Kegelbuch!A13,Schweinepartie!$D$17),EXACT(Kegelbuch!A13,Schweinepartie!$D$18),EXACT(Kegelbuch!A13,Schweinepartie!$D$19),EXACT(Kegelbuch!A13,Schweinepartie!$D$20)),0.6)</f>
        <v>0</v>
      </c>
      <c r="M65" s="57" t="b">
        <f>IF(OR(EXACT(Kegelbuch!A13,Schweinepartie!$E$17),EXACT(Kegelbuch!A13,Schweinepartie!$E$18),EXACT(Kegelbuch!A13,Schweinepartie!$E$19),EXACT(Kegelbuch!A13,Schweinepartie!$E$20)),0.8)</f>
        <v>0</v>
      </c>
      <c r="N65" s="57">
        <f>IF(OR(EXACT(Kegelbuch!A13,Schweinepartie!$F$17),EXACT(Kegelbuch!A13,Schweinepartie!$F$18),EXACT(Kegelbuch!A13,Schweinepartie!$F$19),EXACT(Kegelbuch!A13,Schweinepartie!$F$20)),1,0)</f>
        <v>0</v>
      </c>
      <c r="O65">
        <f t="shared" si="12"/>
        <v>0</v>
      </c>
    </row>
    <row r="66" spans="5:15" x14ac:dyDescent="0.25">
      <c r="I66">
        <f>Kegelbuch!A14</f>
        <v>0</v>
      </c>
      <c r="J66" s="57">
        <f>IF(OR(EXACT(Kegelbuch!A14,Schweinepartie!$B$17),EXACT(Kegelbuch!A14,Schweinepartie!$B$18),EXACT(Kegelbuch!A14,Schweinepartie!$B$19),EXACT(Kegelbuch!A14,Schweinepartie!$B$20)),0.2,0)</f>
        <v>0.2</v>
      </c>
      <c r="K66" s="57">
        <f>IF(OR(EXACT(Kegelbuch!A14,Schweinepartie!$C$17),EXACT(Kegelbuch!A14,Schweinepartie!$C$18),EXACT(Kegelbuch!A14,Schweinepartie!$C$19),EXACT(Kegelbuch!A14,Schweinepartie!$C$20)),0.4,0)</f>
        <v>0.4</v>
      </c>
      <c r="L66" s="57">
        <f>IF(OR(EXACT(Kegelbuch!A14,Schweinepartie!$D$17),EXACT(Kegelbuch!A14,Schweinepartie!$D$18),EXACT(Kegelbuch!A14,Schweinepartie!$D$19),EXACT(Kegelbuch!A14,Schweinepartie!$D$20)),0.6)</f>
        <v>0.6</v>
      </c>
      <c r="M66" s="57">
        <f>IF(OR(EXACT(Kegelbuch!A14,Schweinepartie!$E$17),EXACT(Kegelbuch!A14,Schweinepartie!$E$18),EXACT(Kegelbuch!A14,Schweinepartie!$E$19),EXACT(Kegelbuch!A14,Schweinepartie!$E$20)),0.8)</f>
        <v>0.8</v>
      </c>
      <c r="N66" s="57">
        <f>IF(OR(EXACT(Kegelbuch!A14,Schweinepartie!$F$17),EXACT(Kegelbuch!A14,Schweinepartie!$F$18),EXACT(Kegelbuch!A14,Schweinepartie!$F$19),EXACT(Kegelbuch!A14,Schweinepartie!$F$20)),1,0)</f>
        <v>1</v>
      </c>
      <c r="O66">
        <f t="shared" si="12"/>
        <v>3</v>
      </c>
    </row>
    <row r="67" spans="5:15" x14ac:dyDescent="0.25">
      <c r="I67">
        <f>Kegelbuch!A15</f>
        <v>0</v>
      </c>
      <c r="J67" s="57">
        <f>IF(OR(EXACT(Kegelbuch!A15,Schweinepartie!$B$17),EXACT(Kegelbuch!A15,Schweinepartie!$B$18),EXACT(Kegelbuch!A15,Schweinepartie!$B$19),EXACT(Kegelbuch!A15,Schweinepartie!$B$20)),0.2,0)</f>
        <v>0.2</v>
      </c>
      <c r="K67" s="57">
        <f>IF(OR(EXACT(Kegelbuch!A15,Schweinepartie!$C$17),EXACT(Kegelbuch!A15,Schweinepartie!$C$18),EXACT(Kegelbuch!A15,Schweinepartie!$C$19),EXACT(Kegelbuch!A15,Schweinepartie!$C$20)),0.4,0)</f>
        <v>0.4</v>
      </c>
      <c r="L67" s="57">
        <f>IF(OR(EXACT(Kegelbuch!A15,Schweinepartie!$D$17),EXACT(Kegelbuch!A15,Schweinepartie!$D$18),EXACT(Kegelbuch!A15,Schweinepartie!$D$19),EXACT(Kegelbuch!A15,Schweinepartie!$D$20)),0.6)</f>
        <v>0.6</v>
      </c>
      <c r="M67" s="57">
        <f>IF(OR(EXACT(Kegelbuch!A15,Schweinepartie!$E$17),EXACT(Kegelbuch!A15,Schweinepartie!$E$18),EXACT(Kegelbuch!A15,Schweinepartie!$E$19),EXACT(Kegelbuch!A15,Schweinepartie!$E$20)),0.8)</f>
        <v>0.8</v>
      </c>
      <c r="N67" s="57">
        <f>IF(OR(EXACT(Kegelbuch!A15,Schweinepartie!$F$17),EXACT(Kegelbuch!A15,Schweinepartie!$F$18),EXACT(Kegelbuch!A15,Schweinepartie!$F$19),EXACT(Kegelbuch!A15,Schweinepartie!$F$20)),1,0)</f>
        <v>1</v>
      </c>
      <c r="O67">
        <f t="shared" si="12"/>
        <v>3</v>
      </c>
    </row>
    <row r="68" spans="5:15" x14ac:dyDescent="0.25">
      <c r="I68">
        <f>Kegelbuch!A16</f>
        <v>0</v>
      </c>
      <c r="J68" s="57">
        <f>IF(OR(EXACT(Kegelbuch!A16,Schweinepartie!$B$17),EXACT(Kegelbuch!A16,Schweinepartie!$B$18),EXACT(Kegelbuch!A16,Schweinepartie!$B$19),EXACT(Kegelbuch!A16,Schweinepartie!$B$20)),0.2,0)</f>
        <v>0.2</v>
      </c>
      <c r="K68" s="57">
        <f>IF(OR(EXACT(Kegelbuch!A16,Schweinepartie!$C$17),EXACT(Kegelbuch!A16,Schweinepartie!$C$18),EXACT(Kegelbuch!A16,Schweinepartie!$C$19),EXACT(Kegelbuch!A16,Schweinepartie!$C$20)),0.4,0)</f>
        <v>0.4</v>
      </c>
      <c r="L68" s="57">
        <f>IF(OR(EXACT(Kegelbuch!A16,Schweinepartie!$D$17),EXACT(Kegelbuch!A16,Schweinepartie!$D$18),EXACT(Kegelbuch!A16,Schweinepartie!$D$19),EXACT(Kegelbuch!A16,Schweinepartie!$D$20)),0.6)</f>
        <v>0.6</v>
      </c>
      <c r="M68" s="57">
        <f>IF(OR(EXACT(Kegelbuch!A16,Schweinepartie!$E$17),EXACT(Kegelbuch!A16,Schweinepartie!$E$18),EXACT(Kegelbuch!A16,Schweinepartie!$E$19),EXACT(Kegelbuch!A16,Schweinepartie!$E$20)),0.8)</f>
        <v>0.8</v>
      </c>
      <c r="N68" s="57">
        <f>IF(OR(EXACT(Kegelbuch!A16,Schweinepartie!$F$17),EXACT(Kegelbuch!A16,Schweinepartie!$F$18),EXACT(Kegelbuch!A16,Schweinepartie!$F$19),EXACT(Kegelbuch!A16,Schweinepartie!$F$20)),1,0)</f>
        <v>1</v>
      </c>
      <c r="O68">
        <f t="shared" si="12"/>
        <v>3</v>
      </c>
    </row>
    <row r="69" spans="5:15" x14ac:dyDescent="0.25">
      <c r="I69">
        <f>Kegelbuch!A17</f>
        <v>0</v>
      </c>
      <c r="J69" s="59"/>
      <c r="K69" s="59"/>
      <c r="L69" s="59"/>
      <c r="M69" s="59"/>
      <c r="N69" s="59"/>
    </row>
    <row r="70" spans="5:15" x14ac:dyDescent="0.25">
      <c r="E70" t="e">
        <f>IST</f>
        <v>#NAME?</v>
      </c>
      <c r="I70">
        <f>Kegelbuch!A18</f>
        <v>0</v>
      </c>
      <c r="J70" s="59"/>
      <c r="K70" s="59"/>
      <c r="L70" s="59"/>
      <c r="M70" s="59"/>
      <c r="N70" s="59"/>
    </row>
    <row r="71" spans="5:15" x14ac:dyDescent="0.25">
      <c r="J71" s="59"/>
      <c r="K71" s="59"/>
      <c r="L71" s="59"/>
      <c r="M71" s="59"/>
      <c r="N71" s="59"/>
    </row>
    <row r="72" spans="5:15" x14ac:dyDescent="0.25">
      <c r="J72" s="59"/>
      <c r="K72" s="59"/>
      <c r="L72" s="59"/>
      <c r="M72" s="59"/>
      <c r="N72" s="59"/>
    </row>
    <row r="73" spans="5:15" x14ac:dyDescent="0.25">
      <c r="J73" s="59">
        <f>IF(OR(EXACT(Kegelbuch!A21,Schweinepartie!$B$17),EXACT(Kegelbuch!A21,Schweinepartie!$B$18),EXACT(Kegelbuch!A21,Schweinepartie!$B$19),EXACT(Kegelbuch!A21,Schweinepartie!$B$20)),0.2,0)</f>
        <v>0.2</v>
      </c>
      <c r="K73" s="59" t="b">
        <f>IF(OR(EXACT(A21,Schweinepartie!$C$17),EXACT(A21,Schweinepartie!$C$18),EXACT(A21,Schweinepartie!$C$19),EXACT(A21,Schweinepartie!$C$20)),0.4)</f>
        <v>0</v>
      </c>
      <c r="L73" s="59" t="b">
        <f>IF(OR(EXACT(A21,Schweinepartie!$D$17),EXACT(A21,Schweinepartie!$D$18),EXACT(A21,Schweinepartie!$D$19),EXACT(A21,Schweinepartie!$D$20)),0.6)</f>
        <v>0</v>
      </c>
      <c r="M73" s="59" t="b">
        <f>IF(OR(EXACT(A21,Schweinepartie!$E$17),EXACT(A21,Schweinepartie!$E$18),EXACT(A21,Schweinepartie!$E$19),EXACT(A21,Schweinepartie!$E$20)),0.8)</f>
        <v>0</v>
      </c>
      <c r="N73" s="59" t="e">
        <v>#VALUE!</v>
      </c>
    </row>
    <row r="74" spans="5:15" x14ac:dyDescent="0.25">
      <c r="J74" s="59"/>
      <c r="K74" s="59"/>
      <c r="L74" s="59"/>
      <c r="M74" s="59"/>
      <c r="N74" s="59"/>
    </row>
    <row r="75" spans="5:15" x14ac:dyDescent="0.25">
      <c r="J75" s="59"/>
      <c r="K75" s="59"/>
      <c r="L75" s="59"/>
      <c r="M75" s="59"/>
      <c r="N75" s="59"/>
    </row>
    <row r="76" spans="5:15" x14ac:dyDescent="0.25">
      <c r="J76" s="59"/>
      <c r="K76" s="59"/>
      <c r="L76" s="59"/>
      <c r="M76" s="59"/>
      <c r="N76" s="59"/>
    </row>
    <row r="77" spans="5:15" x14ac:dyDescent="0.25">
      <c r="J77" s="59"/>
      <c r="K77" s="59"/>
      <c r="L77" s="59"/>
      <c r="M77" s="59"/>
      <c r="N77" s="59"/>
    </row>
    <row r="78" spans="5:15" x14ac:dyDescent="0.25">
      <c r="J78" s="59"/>
      <c r="K78" s="59"/>
      <c r="L78" s="59"/>
      <c r="M78" s="59"/>
      <c r="N78" s="59"/>
    </row>
    <row r="79" spans="5:15" x14ac:dyDescent="0.25">
      <c r="J79" s="59"/>
      <c r="K79" s="59"/>
      <c r="L79" s="59"/>
      <c r="M79" s="59"/>
      <c r="N79" s="59"/>
    </row>
    <row r="80" spans="5:15" x14ac:dyDescent="0.25">
      <c r="J80" s="59"/>
      <c r="K80" s="59"/>
      <c r="L80" s="59"/>
      <c r="M80" s="59"/>
      <c r="N80" s="59"/>
    </row>
    <row r="81" spans="10:14" x14ac:dyDescent="0.25">
      <c r="J81" s="59"/>
      <c r="K81" s="59"/>
      <c r="L81" s="59"/>
      <c r="M81" s="59"/>
      <c r="N81" s="59"/>
    </row>
    <row r="82" spans="10:14" x14ac:dyDescent="0.25">
      <c r="J82" s="59">
        <f>IF(OR(EXACT(Kegelbuch!A30,Schweinepartie!$B$17),EXACT(Kegelbuch!A30,Schweinepartie!$B$18),EXACT(Kegelbuch!A30,Schweinepartie!$B$19),EXACT(Kegelbuch!A30,Schweinepartie!$B$20)),0.2,0)</f>
        <v>0.2</v>
      </c>
      <c r="K82" s="59">
        <f>IF(OR(EXACT(A30,Schweinepartie!$C$17),EXACT(A30,Schweinepartie!$C$18),EXACT(A30,Schweinepartie!$C$19),EXACT(A30,Schweinepartie!$C$20)),0.4)</f>
        <v>0.4</v>
      </c>
      <c r="L82" s="59">
        <f>IF(OR(EXACT(A30,Schweinepartie!$D$17),EXACT(A30,Schweinepartie!$D$18),EXACT(A30,Schweinepartie!$D$19),EXACT(A30,Schweinepartie!$D$20)),0.6)</f>
        <v>0.6</v>
      </c>
      <c r="M82" s="59">
        <f>IF(OR(EXACT(A30,Schweinepartie!$E$17),EXACT(A30,Schweinepartie!$E$18),EXACT(A30,Schweinepartie!$E$19),EXACT(A30,Schweinepartie!$E$20)),0.8)</f>
        <v>0.8</v>
      </c>
      <c r="N82" s="59" t="e">
        <v>#VALUE!</v>
      </c>
    </row>
    <row r="83" spans="10:14" x14ac:dyDescent="0.25">
      <c r="J83" s="59"/>
      <c r="K83" s="59"/>
      <c r="L83" s="59"/>
      <c r="M83" s="59"/>
      <c r="N83" s="59"/>
    </row>
    <row r="84" spans="10:14" x14ac:dyDescent="0.25">
      <c r="J84" s="59"/>
      <c r="K84" s="59"/>
      <c r="L84" s="59"/>
      <c r="M84" s="59"/>
      <c r="N84" s="59"/>
    </row>
    <row r="85" spans="10:14" x14ac:dyDescent="0.25">
      <c r="J85" s="59"/>
      <c r="K85" s="59"/>
      <c r="L85" s="59"/>
      <c r="M85" s="59"/>
      <c r="N85" s="59"/>
    </row>
    <row r="86" spans="10:14" x14ac:dyDescent="0.25">
      <c r="J86" s="59"/>
      <c r="K86" s="59"/>
      <c r="L86" s="59"/>
      <c r="M86" s="59"/>
      <c r="N86" s="59"/>
    </row>
    <row r="87" spans="10:14" x14ac:dyDescent="0.25">
      <c r="J87" s="59"/>
      <c r="K87" s="59"/>
      <c r="L87" s="59"/>
      <c r="M87" s="59"/>
      <c r="N87" s="59"/>
    </row>
    <row r="88" spans="10:14" x14ac:dyDescent="0.25">
      <c r="J88" s="59"/>
      <c r="K88" s="59"/>
      <c r="L88" s="59"/>
      <c r="M88" s="59"/>
      <c r="N88" s="59"/>
    </row>
    <row r="89" spans="10:14" x14ac:dyDescent="0.25">
      <c r="J89" s="59"/>
      <c r="K89" s="59"/>
      <c r="L89" s="59"/>
      <c r="M89" s="59"/>
      <c r="N89" s="59"/>
    </row>
    <row r="90" spans="10:14" x14ac:dyDescent="0.25">
      <c r="J90" s="59"/>
      <c r="K90" s="59"/>
      <c r="L90" s="59"/>
      <c r="M90" s="59"/>
      <c r="N90" s="59"/>
    </row>
    <row r="91" spans="10:14" x14ac:dyDescent="0.25">
      <c r="J91" s="59">
        <f>IF(OR(EXACT(Kegelbuch!A39,Schweinepartie!$B$17),EXACT(Kegelbuch!A39,Schweinepartie!$B$18),EXACT(Kegelbuch!A39,Schweinepartie!$B$19),EXACT(Kegelbuch!A39,Schweinepartie!$B$20)),0.2,0)</f>
        <v>0.2</v>
      </c>
      <c r="K91" s="59">
        <f>IF(OR(EXACT(A39,Schweinepartie!$C$17),EXACT(A39,Schweinepartie!$C$18),EXACT(A39,Schweinepartie!$C$19),EXACT(A39,Schweinepartie!$C$20)),0.4)</f>
        <v>0.4</v>
      </c>
      <c r="L91" s="59">
        <f>IF(OR(EXACT(A39,Schweinepartie!$D$17),EXACT(A39,Schweinepartie!$D$18),EXACT(A39,Schweinepartie!$D$19),EXACT(A39,Schweinepartie!$D$20)),0.6)</f>
        <v>0.6</v>
      </c>
      <c r="M91" s="59">
        <f>IF(OR(EXACT(A39,Schweinepartie!$E$17),EXACT(A39,Schweinepartie!$E$18),EXACT(A39,Schweinepartie!$E$19),EXACT(A39,Schweinepartie!$E$20)),0.8)</f>
        <v>0.8</v>
      </c>
      <c r="N91" s="59" t="e">
        <v>#VALUE!</v>
      </c>
    </row>
    <row r="92" spans="10:14" x14ac:dyDescent="0.25">
      <c r="J92" s="59"/>
      <c r="K92" s="59"/>
      <c r="L92" s="59"/>
      <c r="M92" s="59"/>
      <c r="N92" s="59"/>
    </row>
    <row r="93" spans="10:14" x14ac:dyDescent="0.25">
      <c r="J93" s="59"/>
      <c r="K93" s="59"/>
      <c r="L93" s="59"/>
      <c r="M93" s="59"/>
      <c r="N93" s="59"/>
    </row>
    <row r="94" spans="10:14" x14ac:dyDescent="0.25">
      <c r="J94" s="59"/>
      <c r="K94" s="59"/>
      <c r="L94" s="59"/>
      <c r="M94" s="59"/>
      <c r="N94" s="59"/>
    </row>
    <row r="95" spans="10:14" x14ac:dyDescent="0.25">
      <c r="J95" s="59"/>
      <c r="K95" s="59"/>
      <c r="L95" s="59"/>
      <c r="M95" s="59"/>
      <c r="N95" s="59"/>
    </row>
    <row r="96" spans="10:14" x14ac:dyDescent="0.25">
      <c r="J96" s="59"/>
      <c r="K96" s="59"/>
      <c r="L96" s="59"/>
      <c r="M96" s="59"/>
      <c r="N96" s="59"/>
    </row>
    <row r="97" spans="10:14" x14ac:dyDescent="0.25">
      <c r="J97" s="59"/>
      <c r="K97" s="59"/>
      <c r="L97" s="59"/>
      <c r="M97" s="59"/>
      <c r="N97" s="59"/>
    </row>
    <row r="98" spans="10:14" x14ac:dyDescent="0.25">
      <c r="J98" s="59"/>
      <c r="K98" s="59"/>
      <c r="L98" s="59"/>
      <c r="M98" s="59"/>
      <c r="N98" s="59"/>
    </row>
    <row r="99" spans="10:14" x14ac:dyDescent="0.25">
      <c r="J99" s="59"/>
      <c r="K99" s="59"/>
      <c r="L99" s="59"/>
      <c r="M99" s="59"/>
      <c r="N99" s="59"/>
    </row>
    <row r="100" spans="10:14" x14ac:dyDescent="0.25">
      <c r="J100" s="59">
        <f>IF(OR(EXACT(Kegelbuch!A3,Schweinepartie!$B$17),EXACT(Kegelbuch!A3,Schweinepartie!$B$18),EXACT(Kegelbuch!A3,Schweinepartie!$B$19),EXACT(Kegelbuch!A3,Schweinepartie!$B$20)),0.2,0)</f>
        <v>0</v>
      </c>
      <c r="K100" s="59">
        <f>IF(OR(EXACT(A48,Schweinepartie!$C$17),EXACT(A48,Schweinepartie!$C$18),EXACT(A48,Schweinepartie!$C$19),EXACT(A48,Schweinepartie!$C$20)),0.4)</f>
        <v>0.4</v>
      </c>
      <c r="L100" s="59">
        <f>IF(OR(EXACT(A48,Schweinepartie!$D$17),EXACT(A48,Schweinepartie!$D$18),EXACT(A48,Schweinepartie!$D$19),EXACT(A48,Schweinepartie!$D$20)),0.6)</f>
        <v>0.6</v>
      </c>
      <c r="M100" s="59">
        <f>IF(OR(EXACT(A48,Schweinepartie!$E$17),EXACT(A48,Schweinepartie!$E$18),EXACT(A48,Schweinepartie!$E$19),EXACT(A48,Schweinepartie!$E$20)),0.8)</f>
        <v>0.8</v>
      </c>
      <c r="N100" s="59" t="e">
        <v>#VALUE!</v>
      </c>
    </row>
  </sheetData>
  <conditionalFormatting sqref="A32:A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{DB9FDDA0-ACE0-458C-A83B-40E7ABAF4BA1}</x14:id>
        </ext>
      </extLst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ignoredErrors>
    <ignoredError sqref="A1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9FDDA0-ACE0-458C-A83B-40E7ABAF4BA1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A32:A33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Große + Kleine Hausnummer</vt:lpstr>
      <vt:lpstr>17 und 4</vt:lpstr>
      <vt:lpstr>Fuchs</vt:lpstr>
      <vt:lpstr>6 Tage Rennen</vt:lpstr>
      <vt:lpstr>Einsacken</vt:lpstr>
      <vt:lpstr>Schweinepartie</vt:lpstr>
      <vt:lpstr>Tannenbaum</vt:lpstr>
      <vt:lpstr>Idiotenkegeln</vt:lpstr>
      <vt:lpstr>Mensch-ärger-dich-nicht</vt:lpstr>
      <vt:lpstr>Busfahren</vt:lpstr>
      <vt:lpstr>Kegelbuch</vt:lpstr>
      <vt:lpstr>RECHNEN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 Schins</dc:creator>
  <cp:lastModifiedBy>Jo D</cp:lastModifiedBy>
  <cp:revision>22</cp:revision>
  <dcterms:created xsi:type="dcterms:W3CDTF">2014-09-30T09:06:03Z</dcterms:created>
  <dcterms:modified xsi:type="dcterms:W3CDTF">2026-05-24T09:53:02Z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